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anjo/Downloads/"/>
    </mc:Choice>
  </mc:AlternateContent>
  <xr:revisionPtr revIDLastSave="0" documentId="8_{96A7DF85-70AB-DE48-BF92-102FA91DFDC0}" xr6:coauthVersionLast="47" xr6:coauthVersionMax="47" xr10:uidLastSave="{00000000-0000-0000-0000-000000000000}"/>
  <bookViews>
    <workbookView xWindow="4340" yWindow="500" windowWidth="24460" windowHeight="15840" tabRatio="606" activeTab="9" xr2:uid="{00000000-000D-0000-FFFF-FFFF00000000}"/>
  </bookViews>
  <sheets>
    <sheet name="ESTRUCTURA FINANCIERA" sheetId="6" r:id="rId1"/>
    <sheet name="ESTRUCTURA ECONOMICA" sheetId="7" r:id="rId2"/>
    <sheet name="CAPITAL DE TRABAJO" sheetId="8" r:id="rId3"/>
    <sheet name="ANALISIS SOLVENCIA Y MONETARIO" sheetId="9" r:id="rId4"/>
    <sheet name="RENTABILIDAD-BENEFICIOS" sheetId="11" r:id="rId5"/>
    <sheet name="GENERACION DE RECURSOS" sheetId="12" r:id="rId6"/>
    <sheet name="QUIEBRA" sheetId="47" r:id="rId7"/>
    <sheet name="INDICES" sheetId="40" r:id="rId8"/>
    <sheet name="EVA" sheetId="41" r:id="rId9"/>
    <sheet name="DUPONT" sheetId="42" r:id="rId10"/>
    <sheet name="Módulo1" sheetId="16" state="veryHidden" r:id="rId11"/>
    <sheet name="Módulo2" sheetId="17" state="veryHidden" r:id="rId12"/>
    <sheet name="Módulo3" sheetId="18" state="veryHidden" r:id="rId13"/>
    <sheet name="Módulo4" sheetId="19" state="veryHidden" r:id="rId14"/>
    <sheet name="Módulo5" sheetId="20" state="veryHidden" r:id="rId15"/>
    <sheet name="Módulo6" sheetId="21" state="veryHidden" r:id="rId16"/>
    <sheet name="Módulo7" sheetId="22" state="veryHidden" r:id="rId17"/>
    <sheet name="Módulo8" sheetId="23" state="veryHidden" r:id="rId18"/>
    <sheet name="Módulo9" sheetId="24" state="veryHidden" r:id="rId19"/>
    <sheet name="Módulo10" sheetId="25" state="veryHidden" r:id="rId20"/>
    <sheet name="Módulo11" sheetId="26" state="veryHidden" r:id="rId21"/>
    <sheet name="Módulo12" sheetId="27" state="veryHidden" r:id="rId22"/>
    <sheet name="Módulo13" sheetId="28" state="veryHidden" r:id="rId23"/>
    <sheet name="Módulo14" sheetId="29" state="veryHidden" r:id="rId24"/>
    <sheet name="Módulo15" sheetId="30" state="veryHidden" r:id="rId25"/>
    <sheet name="Módulo16" sheetId="31" state="veryHidden" r:id="rId26"/>
    <sheet name="Módulo17" sheetId="32" state="veryHidden" r:id="rId27"/>
    <sheet name="Módulo18" sheetId="33" state="veryHidden" r:id="rId28"/>
    <sheet name="Módulo19" sheetId="34" state="veryHidden" r:id="rId29"/>
    <sheet name="Módulo20" sheetId="35" state="veryHidden" r:id="rId30"/>
    <sheet name="Módulo21" sheetId="36" state="veryHidden" r:id="rId31"/>
    <sheet name="Módulo22" sheetId="37" state="veryHidden" r:id="rId32"/>
    <sheet name="Módulo23" sheetId="38" state="veryHidden" r:id="rId33"/>
    <sheet name="Módulo24" sheetId="39" state="veryHidden" r:id="rId34"/>
    <sheet name="_SSC" sheetId="48" state="veryHidden" r:id="rId35"/>
  </sheets>
  <definedNames>
    <definedName name="_Ctrl_1" hidden="1">'ESTRUCTURA ECONOMICA'!$A$35</definedName>
    <definedName name="_xlnm.Print_Area" localSheetId="3">'ANALISIS SOLVENCIA Y MONETARIO'!$A$1:$G$19</definedName>
    <definedName name="_xlnm.Print_Area" localSheetId="2">'CAPITAL DE TRABAJO'!$A$1:$E$36</definedName>
    <definedName name="_xlnm.Print_Area" localSheetId="1">'ESTRUCTURA ECONOMICA'!$A$1:$H$39</definedName>
    <definedName name="_xlnm.Print_Area" localSheetId="0">'ESTRUCTURA FINANCIERA'!$A$1:$G$63</definedName>
    <definedName name="_xlnm.Print_Area" localSheetId="5">'GENERACION DE RECURSOS'!$A$1:$G$31</definedName>
    <definedName name="_xlnm.Print_Area" localSheetId="4">'RENTABILIDAD-BENEFICIOS'!$A$1:$G$27</definedName>
    <definedName name="EF" localSheetId="0">"Button 99"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2" i="12" l="1"/>
  <c r="B7" i="12"/>
  <c r="B17" i="12" s="1"/>
  <c r="B22" i="11"/>
  <c r="G22" i="7"/>
  <c r="H22" i="7" s="1"/>
  <c r="E22" i="7"/>
  <c r="E26" i="7" s="1"/>
  <c r="R16" i="42" s="1"/>
  <c r="B22" i="7"/>
  <c r="F15" i="11"/>
  <c r="B15" i="11"/>
  <c r="B7" i="9"/>
  <c r="F13" i="9"/>
  <c r="D13" i="9"/>
  <c r="B13" i="9"/>
  <c r="B14" i="9"/>
  <c r="B17" i="6"/>
  <c r="D14" i="9"/>
  <c r="F17" i="6"/>
  <c r="P3" i="41" s="1"/>
  <c r="D32" i="8"/>
  <c r="D31" i="8"/>
  <c r="E7" i="8"/>
  <c r="F29" i="6"/>
  <c r="D11" i="8"/>
  <c r="D10" i="8"/>
  <c r="D8" i="8"/>
  <c r="F48" i="6"/>
  <c r="L16" i="41"/>
  <c r="G26" i="7"/>
  <c r="R17" i="42" s="1"/>
  <c r="H11" i="7"/>
  <c r="B15" i="7"/>
  <c r="B16" i="7" s="1"/>
  <c r="G15" i="7"/>
  <c r="F35" i="40" s="1"/>
  <c r="D56" i="6"/>
  <c r="D29" i="6"/>
  <c r="B29" i="6"/>
  <c r="B30" i="6" s="1"/>
  <c r="C32" i="6" s="1"/>
  <c r="B23" i="6"/>
  <c r="D23" i="6"/>
  <c r="F23" i="6"/>
  <c r="P30" i="41"/>
  <c r="N30" i="41"/>
  <c r="L30" i="41"/>
  <c r="P12" i="41"/>
  <c r="N12" i="41"/>
  <c r="L12" i="41"/>
  <c r="E8" i="7"/>
  <c r="C6" i="8" s="1"/>
  <c r="D6" i="9"/>
  <c r="D12" i="9" s="1"/>
  <c r="G8" i="7"/>
  <c r="F6" i="9" s="1"/>
  <c r="F12" i="9" s="1"/>
  <c r="B8" i="7"/>
  <c r="B6" i="8" s="1"/>
  <c r="B6" i="9"/>
  <c r="B12" i="9" s="1"/>
  <c r="F52" i="6"/>
  <c r="F56" i="6" s="1"/>
  <c r="D52" i="6"/>
  <c r="D48" i="6"/>
  <c r="B52" i="6"/>
  <c r="B56" i="6" s="1"/>
  <c r="B48" i="6"/>
  <c r="F39" i="6"/>
  <c r="D39" i="6"/>
  <c r="B39" i="6"/>
  <c r="B49" i="6" s="1"/>
  <c r="D17" i="6"/>
  <c r="C11" i="8"/>
  <c r="B26" i="7"/>
  <c r="C26" i="7" s="1"/>
  <c r="E15" i="7"/>
  <c r="E16" i="7" s="1"/>
  <c r="E21" i="7" s="1"/>
  <c r="B13" i="11"/>
  <c r="B24" i="11"/>
  <c r="B25" i="11"/>
  <c r="B26" i="11"/>
  <c r="D23" i="11"/>
  <c r="E23" i="11" s="1"/>
  <c r="D13" i="11"/>
  <c r="D24" i="11"/>
  <c r="E24" i="11"/>
  <c r="D25" i="11"/>
  <c r="E25" i="11"/>
  <c r="D26" i="11"/>
  <c r="E26" i="11" s="1"/>
  <c r="C24" i="11"/>
  <c r="C25" i="11"/>
  <c r="C26" i="11"/>
  <c r="F13" i="11"/>
  <c r="F14" i="11"/>
  <c r="D14" i="11"/>
  <c r="D15" i="11"/>
  <c r="B14" i="11"/>
  <c r="D6" i="8"/>
  <c r="F7" i="11"/>
  <c r="A17" i="42" s="1"/>
  <c r="F20" i="11"/>
  <c r="F11" i="11" s="1"/>
  <c r="F26" i="11"/>
  <c r="G26" i="11"/>
  <c r="F25" i="11"/>
  <c r="G25" i="11"/>
  <c r="F24" i="11"/>
  <c r="G24" i="11"/>
  <c r="B31" i="8"/>
  <c r="B32" i="8"/>
  <c r="B33" i="8"/>
  <c r="B34" i="8"/>
  <c r="F6" i="12"/>
  <c r="F15" i="12" s="1"/>
  <c r="J10" i="42"/>
  <c r="N9" i="42"/>
  <c r="R12" i="42"/>
  <c r="J22" i="42"/>
  <c r="H34" i="7"/>
  <c r="H32" i="7"/>
  <c r="H33" i="7"/>
  <c r="F34" i="7"/>
  <c r="F32" i="7"/>
  <c r="F33" i="7"/>
  <c r="H18" i="7"/>
  <c r="H17" i="7"/>
  <c r="H19" i="7"/>
  <c r="F17" i="7"/>
  <c r="F18" i="7"/>
  <c r="F19" i="7"/>
  <c r="C32" i="7"/>
  <c r="D32" i="7"/>
  <c r="C33" i="7"/>
  <c r="D33" i="7"/>
  <c r="C34" i="7"/>
  <c r="D34" i="7"/>
  <c r="C25" i="7"/>
  <c r="D25" i="7"/>
  <c r="D18" i="7"/>
  <c r="D19" i="7"/>
  <c r="C18" i="7"/>
  <c r="C19" i="7"/>
  <c r="H25" i="7"/>
  <c r="F25" i="7"/>
  <c r="D17" i="7"/>
  <c r="D13" i="7"/>
  <c r="D11" i="7"/>
  <c r="C17" i="7"/>
  <c r="H10" i="7"/>
  <c r="F10" i="7"/>
  <c r="D10" i="7"/>
  <c r="C12" i="7"/>
  <c r="C10" i="7"/>
  <c r="C15" i="7"/>
  <c r="F30" i="40"/>
  <c r="F31" i="40" s="1"/>
  <c r="F36" i="40"/>
  <c r="D30" i="40"/>
  <c r="D31" i="40" s="1"/>
  <c r="D36" i="40"/>
  <c r="B30" i="40"/>
  <c r="B31" i="40"/>
  <c r="B36" i="40"/>
  <c r="D33" i="8"/>
  <c r="D34" i="8"/>
  <c r="D9" i="8"/>
  <c r="D2" i="47"/>
  <c r="F2" i="47"/>
  <c r="E2" i="47"/>
  <c r="P23" i="41"/>
  <c r="N19" i="41"/>
  <c r="P19" i="41"/>
  <c r="N16" i="41"/>
  <c r="N23" i="41"/>
  <c r="L19" i="41"/>
  <c r="L23" i="41"/>
  <c r="R22" i="42"/>
  <c r="R27" i="42"/>
  <c r="R32" i="42"/>
  <c r="N21" i="42"/>
  <c r="J9" i="42"/>
  <c r="N8" i="42"/>
  <c r="R11" i="42"/>
  <c r="J21" i="42"/>
  <c r="R21" i="42"/>
  <c r="N20" i="42" s="1"/>
  <c r="R26" i="42"/>
  <c r="R31" i="42"/>
  <c r="J8" i="42"/>
  <c r="N7" i="42"/>
  <c r="R10" i="42"/>
  <c r="J20" i="42"/>
  <c r="R20" i="42"/>
  <c r="R25" i="42"/>
  <c r="N19" i="42" s="1"/>
  <c r="J25" i="42" s="1"/>
  <c r="F19" i="42" s="1"/>
  <c r="R30" i="42"/>
  <c r="N25" i="42"/>
  <c r="L4" i="41"/>
  <c r="L3" i="41"/>
  <c r="J29" i="41"/>
  <c r="H29" i="41"/>
  <c r="F29" i="41"/>
  <c r="D29" i="41"/>
  <c r="B29" i="41"/>
  <c r="J17" i="41"/>
  <c r="J21" i="41"/>
  <c r="J25" i="41"/>
  <c r="H17" i="41"/>
  <c r="H21" i="41"/>
  <c r="H25" i="41"/>
  <c r="F17" i="41"/>
  <c r="F21" i="41"/>
  <c r="F25" i="41"/>
  <c r="D17" i="41"/>
  <c r="D21" i="41"/>
  <c r="D25" i="41"/>
  <c r="B17" i="41"/>
  <c r="B21" i="41"/>
  <c r="B25" i="41"/>
  <c r="AA4" i="41"/>
  <c r="J10" i="41"/>
  <c r="AA5" i="41"/>
  <c r="AA6" i="41"/>
  <c r="J5" i="41"/>
  <c r="AA8" i="41"/>
  <c r="J11" i="41"/>
  <c r="J9" i="41"/>
  <c r="J12" i="41"/>
  <c r="J13" i="41"/>
  <c r="AA9" i="41"/>
  <c r="AA10" i="41"/>
  <c r="AA12" i="41"/>
  <c r="AA15" i="41"/>
  <c r="AA16" i="41"/>
  <c r="AA18" i="41"/>
  <c r="AA20" i="41"/>
  <c r="Y4" i="41"/>
  <c r="H10" i="41"/>
  <c r="Y5" i="41"/>
  <c r="Y6" i="41"/>
  <c r="H5" i="41"/>
  <c r="Y8" i="41"/>
  <c r="H11" i="41"/>
  <c r="H9" i="41"/>
  <c r="I7" i="41"/>
  <c r="I8" i="41"/>
  <c r="H12" i="41"/>
  <c r="H13" i="41"/>
  <c r="Y9" i="41"/>
  <c r="Y10" i="41"/>
  <c r="Y12" i="41"/>
  <c r="Y15" i="41"/>
  <c r="Y16" i="41"/>
  <c r="Y18" i="41"/>
  <c r="Y20" i="41"/>
  <c r="W4" i="41"/>
  <c r="F10" i="41"/>
  <c r="W5" i="41"/>
  <c r="W6" i="41"/>
  <c r="F5" i="41"/>
  <c r="W8" i="41"/>
  <c r="F11" i="41"/>
  <c r="F9" i="41"/>
  <c r="G7" i="41"/>
  <c r="G8" i="41"/>
  <c r="F12" i="41"/>
  <c r="F13" i="41"/>
  <c r="W9" i="41"/>
  <c r="W10" i="41"/>
  <c r="W12" i="41"/>
  <c r="W15" i="41"/>
  <c r="W16" i="41"/>
  <c r="W18" i="41"/>
  <c r="W20" i="41"/>
  <c r="U4" i="41"/>
  <c r="D10" i="41"/>
  <c r="U5" i="41"/>
  <c r="U6" i="41"/>
  <c r="D5" i="41"/>
  <c r="U8" i="41"/>
  <c r="D11" i="41"/>
  <c r="D9" i="41"/>
  <c r="E7" i="41"/>
  <c r="E8" i="41"/>
  <c r="D12" i="41"/>
  <c r="D13" i="41"/>
  <c r="U9" i="41"/>
  <c r="U10" i="41"/>
  <c r="U12" i="41"/>
  <c r="U15" i="41"/>
  <c r="U16" i="41"/>
  <c r="U18" i="41"/>
  <c r="U20" i="41"/>
  <c r="S4" i="41"/>
  <c r="B10" i="41"/>
  <c r="S5" i="41"/>
  <c r="S6" i="41"/>
  <c r="B5" i="41"/>
  <c r="S8" i="41"/>
  <c r="B11" i="41"/>
  <c r="B9" i="41"/>
  <c r="C7" i="41"/>
  <c r="C8" i="41"/>
  <c r="B12" i="41"/>
  <c r="B13" i="41"/>
  <c r="S9" i="41"/>
  <c r="S10" i="41"/>
  <c r="S12" i="41"/>
  <c r="S15" i="41"/>
  <c r="S16" i="41"/>
  <c r="S18" i="41"/>
  <c r="S20" i="41"/>
  <c r="I9" i="41"/>
  <c r="G9" i="41"/>
  <c r="E9" i="41"/>
  <c r="C9" i="41"/>
  <c r="G3" i="41"/>
  <c r="G5" i="41"/>
  <c r="E3" i="41"/>
  <c r="E5" i="41"/>
  <c r="C3" i="41"/>
  <c r="C5" i="41"/>
  <c r="G4" i="41"/>
  <c r="E4" i="41"/>
  <c r="C4" i="41"/>
  <c r="B4" i="40"/>
  <c r="B27" i="40" s="1"/>
  <c r="D4" i="40"/>
  <c r="D27" i="40" s="1"/>
  <c r="F4" i="40"/>
  <c r="J5" i="40"/>
  <c r="J46" i="40"/>
  <c r="H5" i="40"/>
  <c r="H46" i="40"/>
  <c r="D5" i="40"/>
  <c r="J45" i="40"/>
  <c r="H45" i="40"/>
  <c r="J44" i="40"/>
  <c r="H44" i="40"/>
  <c r="J43" i="40"/>
  <c r="H43" i="40"/>
  <c r="J42" i="40"/>
  <c r="H42" i="40"/>
  <c r="J41" i="40"/>
  <c r="H41" i="40"/>
  <c r="J40" i="40"/>
  <c r="H40" i="40"/>
  <c r="J39" i="40"/>
  <c r="H39" i="40"/>
  <c r="J30" i="40"/>
  <c r="J35" i="40"/>
  <c r="H30" i="40"/>
  <c r="H35" i="40"/>
  <c r="J34" i="40"/>
  <c r="H34" i="40"/>
  <c r="J32" i="40"/>
  <c r="H32" i="40"/>
  <c r="D32" i="40"/>
  <c r="B32" i="40"/>
  <c r="J33" i="40"/>
  <c r="H33" i="40"/>
  <c r="J28" i="40"/>
  <c r="J19" i="40"/>
  <c r="J18" i="40"/>
  <c r="H19" i="40"/>
  <c r="H18" i="40"/>
  <c r="J17" i="40"/>
  <c r="H17" i="40"/>
  <c r="J16" i="40"/>
  <c r="H16" i="40"/>
  <c r="J15" i="40"/>
  <c r="H15" i="40"/>
  <c r="J14" i="40"/>
  <c r="H14" i="40"/>
  <c r="J11" i="40"/>
  <c r="H11" i="40"/>
  <c r="J10" i="40"/>
  <c r="H10" i="40"/>
  <c r="D10" i="40"/>
  <c r="J9" i="40"/>
  <c r="J8" i="40"/>
  <c r="H9" i="40"/>
  <c r="D9" i="40"/>
  <c r="H8" i="40"/>
  <c r="K50" i="40"/>
  <c r="J50" i="40"/>
  <c r="H50" i="40"/>
  <c r="K49" i="40"/>
  <c r="J49" i="40"/>
  <c r="H49" i="40"/>
  <c r="K48" i="40"/>
  <c r="J48" i="40"/>
  <c r="H48" i="40"/>
  <c r="K38" i="40"/>
  <c r="J38" i="40"/>
  <c r="H38" i="40"/>
  <c r="F38" i="40"/>
  <c r="B38" i="40"/>
  <c r="K31" i="40"/>
  <c r="K36" i="40"/>
  <c r="J29" i="40"/>
  <c r="J31" i="40"/>
  <c r="J36" i="40"/>
  <c r="H31" i="40"/>
  <c r="K29" i="40"/>
  <c r="K27" i="40"/>
  <c r="J27" i="40"/>
  <c r="H27" i="40"/>
  <c r="F27" i="40"/>
  <c r="K13" i="40"/>
  <c r="J13" i="40"/>
  <c r="H13" i="40"/>
  <c r="F13" i="40"/>
  <c r="B13" i="40"/>
  <c r="K7" i="40"/>
  <c r="J7" i="40"/>
  <c r="H7" i="40"/>
  <c r="F7" i="40"/>
  <c r="AP16" i="12"/>
  <c r="AR16" i="12" s="1"/>
  <c r="AQ16" i="12"/>
  <c r="AP21" i="12"/>
  <c r="AR21" i="12" s="1"/>
  <c r="AQ21" i="12"/>
  <c r="A4" i="8"/>
  <c r="A4" i="9" s="1"/>
  <c r="A4" i="11" s="1"/>
  <c r="A4" i="12" s="1"/>
  <c r="B9" i="8"/>
  <c r="C9" i="8"/>
  <c r="E9" i="8"/>
  <c r="B14" i="8"/>
  <c r="B13" i="8" s="1"/>
  <c r="C14" i="8"/>
  <c r="D14" i="8"/>
  <c r="B15" i="8"/>
  <c r="C15" i="8"/>
  <c r="E15" i="8" s="1"/>
  <c r="D15" i="8"/>
  <c r="D16" i="8"/>
  <c r="B17" i="8"/>
  <c r="C17" i="8"/>
  <c r="D17" i="8"/>
  <c r="C18" i="8"/>
  <c r="B20" i="8"/>
  <c r="C20" i="8"/>
  <c r="D20" i="8"/>
  <c r="B21" i="8"/>
  <c r="C21" i="8"/>
  <c r="D21" i="8"/>
  <c r="E21" i="8"/>
  <c r="B22" i="8"/>
  <c r="C22" i="8"/>
  <c r="D22" i="8"/>
  <c r="E22" i="8"/>
  <c r="B23" i="8"/>
  <c r="C23" i="8"/>
  <c r="D23" i="8"/>
  <c r="E23" i="8"/>
  <c r="B24" i="8"/>
  <c r="C24" i="8"/>
  <c r="D24" i="8"/>
  <c r="E24" i="8"/>
  <c r="B25" i="8"/>
  <c r="B19" i="8" s="1"/>
  <c r="C25" i="8"/>
  <c r="D25" i="8"/>
  <c r="C31" i="8"/>
  <c r="C32" i="8"/>
  <c r="E32" i="8"/>
  <c r="C33" i="8"/>
  <c r="C34" i="8"/>
  <c r="E34" i="8"/>
  <c r="H9" i="7"/>
  <c r="C11" i="7"/>
  <c r="F11" i="7"/>
  <c r="D12" i="7"/>
  <c r="F12" i="7"/>
  <c r="H12" i="7"/>
  <c r="C13" i="7"/>
  <c r="F13" i="7"/>
  <c r="H13" i="7"/>
  <c r="C14" i="7"/>
  <c r="D14" i="7"/>
  <c r="F14" i="7"/>
  <c r="H14" i="7"/>
  <c r="C20" i="7"/>
  <c r="D20" i="7"/>
  <c r="H20" i="7"/>
  <c r="C22" i="7"/>
  <c r="D22" i="7"/>
  <c r="F22" i="7"/>
  <c r="C23" i="7"/>
  <c r="D23" i="7"/>
  <c r="F23" i="7"/>
  <c r="H23" i="7"/>
  <c r="C24" i="7"/>
  <c r="D24" i="7"/>
  <c r="F24" i="7"/>
  <c r="H24" i="7"/>
  <c r="C28" i="7"/>
  <c r="D28" i="7"/>
  <c r="F28" i="7"/>
  <c r="H28" i="7"/>
  <c r="C30" i="7"/>
  <c r="D30" i="7"/>
  <c r="F30" i="7"/>
  <c r="H30" i="7"/>
  <c r="B16" i="8"/>
  <c r="B18" i="8"/>
  <c r="E18" i="8"/>
  <c r="D18" i="8"/>
  <c r="C18" i="6"/>
  <c r="E18" i="6"/>
  <c r="G18" i="6"/>
  <c r="C21" i="6"/>
  <c r="E21" i="6"/>
  <c r="G21" i="6"/>
  <c r="C22" i="6"/>
  <c r="E22" i="6"/>
  <c r="G22" i="6"/>
  <c r="C26" i="6"/>
  <c r="E26" i="6"/>
  <c r="G26" i="6"/>
  <c r="C28" i="6"/>
  <c r="E28" i="6"/>
  <c r="G28" i="6"/>
  <c r="B11" i="8"/>
  <c r="E32" i="6"/>
  <c r="C35" i="6"/>
  <c r="E35" i="6"/>
  <c r="G35" i="6"/>
  <c r="C37" i="6"/>
  <c r="E37" i="6"/>
  <c r="G37" i="6"/>
  <c r="E41" i="6"/>
  <c r="C42" i="6"/>
  <c r="E42" i="6"/>
  <c r="G42" i="6"/>
  <c r="C44" i="6"/>
  <c r="E44" i="6"/>
  <c r="G44" i="6"/>
  <c r="C45" i="6"/>
  <c r="C46" i="6"/>
  <c r="E46" i="6"/>
  <c r="G46" i="6"/>
  <c r="C47" i="6"/>
  <c r="E47" i="6"/>
  <c r="G47" i="6"/>
  <c r="B8" i="8"/>
  <c r="I58" i="6"/>
  <c r="I59" i="6"/>
  <c r="C57" i="6"/>
  <c r="E57" i="6"/>
  <c r="G57" i="6"/>
  <c r="C58" i="6"/>
  <c r="E58" i="6"/>
  <c r="G58" i="6"/>
  <c r="E59" i="6"/>
  <c r="C19" i="8"/>
  <c r="D13" i="8"/>
  <c r="C16" i="8"/>
  <c r="E16" i="8"/>
  <c r="F20" i="7"/>
  <c r="C25" i="6"/>
  <c r="C43" i="6"/>
  <c r="E17" i="8"/>
  <c r="E16" i="6"/>
  <c r="E25" i="6"/>
  <c r="E45" i="6"/>
  <c r="E43" i="6"/>
  <c r="G25" i="6"/>
  <c r="G16" i="6"/>
  <c r="G45" i="6"/>
  <c r="G43" i="6"/>
  <c r="C16" i="6"/>
  <c r="I21" i="9"/>
  <c r="L5" i="41" l="1"/>
  <c r="AC8" i="41" s="1"/>
  <c r="C59" i="6"/>
  <c r="C41" i="6"/>
  <c r="D30" i="8"/>
  <c r="B23" i="11"/>
  <c r="C23" i="11" s="1"/>
  <c r="D26" i="7"/>
  <c r="F26" i="7"/>
  <c r="P16" i="41"/>
  <c r="F23" i="11"/>
  <c r="H26" i="7"/>
  <c r="R7" i="42"/>
  <c r="N15" i="42" s="1"/>
  <c r="J16" i="42" s="1"/>
  <c r="F11" i="42" s="1"/>
  <c r="H15" i="7"/>
  <c r="R15" i="42"/>
  <c r="F28" i="40"/>
  <c r="F29" i="40" s="1"/>
  <c r="B21" i="7"/>
  <c r="C21" i="7" s="1"/>
  <c r="B39" i="40"/>
  <c r="C16" i="7"/>
  <c r="B35" i="40"/>
  <c r="B28" i="40"/>
  <c r="B29" i="40" s="1"/>
  <c r="R5" i="42"/>
  <c r="R6" i="42"/>
  <c r="N14" i="42" s="1"/>
  <c r="J15" i="42" s="1"/>
  <c r="F10" i="42" s="1"/>
  <c r="F15" i="7"/>
  <c r="D35" i="40"/>
  <c r="D15" i="7"/>
  <c r="D28" i="40"/>
  <c r="D29" i="40" s="1"/>
  <c r="G16" i="7"/>
  <c r="H28" i="40"/>
  <c r="H29" i="40" s="1"/>
  <c r="H36" i="40" s="1"/>
  <c r="F21" i="7"/>
  <c r="N15" i="41"/>
  <c r="N17" i="41" s="1"/>
  <c r="E27" i="7"/>
  <c r="D22" i="11"/>
  <c r="D40" i="40"/>
  <c r="D16" i="7"/>
  <c r="F16" i="7"/>
  <c r="D39" i="40"/>
  <c r="B25" i="40"/>
  <c r="B19" i="40"/>
  <c r="B7" i="8"/>
  <c r="B18" i="40"/>
  <c r="B62" i="40" s="1"/>
  <c r="B8" i="9"/>
  <c r="L8" i="41"/>
  <c r="AC16" i="41" s="1"/>
  <c r="B24" i="40"/>
  <c r="J18" i="11"/>
  <c r="K18" i="11" s="1"/>
  <c r="N8" i="41"/>
  <c r="AE16" i="41" s="1"/>
  <c r="D19" i="40"/>
  <c r="D7" i="9"/>
  <c r="J16" i="11"/>
  <c r="K16" i="11" s="1"/>
  <c r="D8" i="9"/>
  <c r="D25" i="40"/>
  <c r="C7" i="8"/>
  <c r="D24" i="40"/>
  <c r="R18" i="11"/>
  <c r="S18" i="11" s="1"/>
  <c r="N18" i="11"/>
  <c r="O18" i="11" s="1"/>
  <c r="D7" i="8"/>
  <c r="R16" i="11"/>
  <c r="S16" i="11" s="1"/>
  <c r="N16" i="11"/>
  <c r="O16" i="11" s="1"/>
  <c r="P8" i="41"/>
  <c r="AG16" i="41" s="1"/>
  <c r="F18" i="40"/>
  <c r="F25" i="40"/>
  <c r="C8" i="8"/>
  <c r="C10" i="8" s="1"/>
  <c r="D49" i="6"/>
  <c r="D18" i="40"/>
  <c r="F49" i="6"/>
  <c r="F16" i="40" s="1"/>
  <c r="F19" i="40"/>
  <c r="F7" i="9"/>
  <c r="F24" i="40"/>
  <c r="F8" i="9"/>
  <c r="E8" i="8"/>
  <c r="E20" i="8"/>
  <c r="C30" i="8"/>
  <c r="D19" i="8"/>
  <c r="D17" i="40"/>
  <c r="E12" i="47" s="1"/>
  <c r="E13" i="47" s="1"/>
  <c r="D23" i="40"/>
  <c r="D8" i="40"/>
  <c r="E11" i="47"/>
  <c r="E19" i="8"/>
  <c r="B22" i="40"/>
  <c r="B17" i="40"/>
  <c r="D12" i="47" s="1"/>
  <c r="C14" i="9"/>
  <c r="L7" i="41"/>
  <c r="L11" i="41" s="1"/>
  <c r="B16" i="40"/>
  <c r="E25" i="8"/>
  <c r="B9" i="40"/>
  <c r="B5" i="40"/>
  <c r="B8" i="40"/>
  <c r="B10" i="40"/>
  <c r="D6" i="47"/>
  <c r="B23" i="40"/>
  <c r="E33" i="8"/>
  <c r="B30" i="8"/>
  <c r="E6" i="47"/>
  <c r="F10" i="40"/>
  <c r="F11" i="47"/>
  <c r="E11" i="8"/>
  <c r="N4" i="41"/>
  <c r="D30" i="6"/>
  <c r="E20" i="6" s="1"/>
  <c r="N26" i="42"/>
  <c r="J26" i="42" s="1"/>
  <c r="F20" i="42" s="1"/>
  <c r="N27" i="42"/>
  <c r="J27" i="42" s="1"/>
  <c r="F21" i="42" s="1"/>
  <c r="P4" i="41"/>
  <c r="P5" i="41" s="1"/>
  <c r="AG8" i="41" s="1"/>
  <c r="F32" i="40"/>
  <c r="E14" i="8"/>
  <c r="E30" i="8"/>
  <c r="C13" i="8"/>
  <c r="E13" i="8" s="1"/>
  <c r="E31" i="8"/>
  <c r="D34" i="40"/>
  <c r="N3" i="41"/>
  <c r="E54" i="6"/>
  <c r="E14" i="6"/>
  <c r="E31" i="6"/>
  <c r="D11" i="47"/>
  <c r="F8" i="40"/>
  <c r="F9" i="40"/>
  <c r="F30" i="6"/>
  <c r="F5" i="40"/>
  <c r="E17" i="6"/>
  <c r="E53" i="6"/>
  <c r="E13" i="6"/>
  <c r="D33" i="40"/>
  <c r="E52" i="6"/>
  <c r="E19" i="6"/>
  <c r="E39" i="6"/>
  <c r="B61" i="6"/>
  <c r="D4" i="47"/>
  <c r="B15" i="40"/>
  <c r="C13" i="6"/>
  <c r="I26" i="6"/>
  <c r="C29" i="6"/>
  <c r="C54" i="6"/>
  <c r="C27" i="6"/>
  <c r="C49" i="6"/>
  <c r="C10" i="6"/>
  <c r="B20" i="40"/>
  <c r="C56" i="6"/>
  <c r="B60" i="6"/>
  <c r="B14" i="40"/>
  <c r="B33" i="40"/>
  <c r="C55" i="6"/>
  <c r="C14" i="6"/>
  <c r="C33" i="6"/>
  <c r="C36" i="6"/>
  <c r="C31" i="6"/>
  <c r="C30" i="6"/>
  <c r="C15" i="6"/>
  <c r="B21" i="40"/>
  <c r="C48" i="6"/>
  <c r="C17" i="6"/>
  <c r="D3" i="47"/>
  <c r="D7" i="47"/>
  <c r="C53" i="6"/>
  <c r="C39" i="6"/>
  <c r="C50" i="6"/>
  <c r="C38" i="6"/>
  <c r="C24" i="6"/>
  <c r="C34" i="6"/>
  <c r="C12" i="6"/>
  <c r="C40" i="6"/>
  <c r="C23" i="6"/>
  <c r="C52" i="6"/>
  <c r="C19" i="6"/>
  <c r="I10" i="42"/>
  <c r="E11" i="42"/>
  <c r="E21" i="42"/>
  <c r="D13" i="40"/>
  <c r="F24" i="12"/>
  <c r="F11" i="12"/>
  <c r="B7" i="11"/>
  <c r="D7" i="11"/>
  <c r="F12" i="12"/>
  <c r="B7" i="40"/>
  <c r="D38" i="40"/>
  <c r="F10" i="12"/>
  <c r="F16" i="12"/>
  <c r="F20" i="12"/>
  <c r="F14" i="12"/>
  <c r="D7" i="40"/>
  <c r="P2" i="41"/>
  <c r="F9" i="12"/>
  <c r="G23" i="11" l="1"/>
  <c r="F16" i="11"/>
  <c r="G20" i="6"/>
  <c r="G59" i="6"/>
  <c r="G32" i="6"/>
  <c r="G41" i="6"/>
  <c r="N13" i="42"/>
  <c r="J14" i="42" s="1"/>
  <c r="F9" i="42" s="1"/>
  <c r="B15" i="42" s="1"/>
  <c r="B40" i="40"/>
  <c r="B27" i="7"/>
  <c r="J15" i="11" s="1"/>
  <c r="K15" i="11" s="1"/>
  <c r="L16" i="11" s="1"/>
  <c r="J34" i="7"/>
  <c r="B21" i="11"/>
  <c r="B12" i="11" s="1"/>
  <c r="D21" i="7"/>
  <c r="L15" i="41"/>
  <c r="L17" i="41" s="1"/>
  <c r="L21" i="41" s="1"/>
  <c r="B17" i="42"/>
  <c r="B16" i="42"/>
  <c r="G21" i="7"/>
  <c r="H16" i="7"/>
  <c r="F39" i="40"/>
  <c r="N15" i="11"/>
  <c r="O15" i="11" s="1"/>
  <c r="P16" i="11" s="1"/>
  <c r="E29" i="7"/>
  <c r="F27" i="7"/>
  <c r="AE4" i="41"/>
  <c r="N21" i="41"/>
  <c r="E22" i="11"/>
  <c r="E21" i="11" s="1"/>
  <c r="D16" i="11"/>
  <c r="D21" i="11"/>
  <c r="D12" i="11" s="1"/>
  <c r="F62" i="40"/>
  <c r="B10" i="8"/>
  <c r="B12" i="8" s="1"/>
  <c r="B27" i="8" s="1"/>
  <c r="B9" i="9" s="1"/>
  <c r="C12" i="8"/>
  <c r="D62" i="40"/>
  <c r="D12" i="8"/>
  <c r="D27" i="8" s="1"/>
  <c r="D28" i="8" s="1"/>
  <c r="E14" i="9"/>
  <c r="N7" i="41"/>
  <c r="N9" i="41" s="1"/>
  <c r="D22" i="40"/>
  <c r="D16" i="40"/>
  <c r="D61" i="40" s="1"/>
  <c r="F17" i="40"/>
  <c r="F12" i="47" s="1"/>
  <c r="F13" i="47" s="1"/>
  <c r="P7" i="41"/>
  <c r="P9" i="41" s="1"/>
  <c r="Q8" i="41" s="1"/>
  <c r="F14" i="9"/>
  <c r="G14" i="9" s="1"/>
  <c r="F23" i="40"/>
  <c r="F22" i="40"/>
  <c r="F6" i="47"/>
  <c r="B61" i="40"/>
  <c r="D13" i="47"/>
  <c r="B11" i="40"/>
  <c r="B34" i="40"/>
  <c r="L9" i="41"/>
  <c r="M7" i="41" s="1"/>
  <c r="P11" i="41"/>
  <c r="E3" i="47"/>
  <c r="C11" i="6"/>
  <c r="C20" i="6"/>
  <c r="D21" i="40"/>
  <c r="E40" i="6"/>
  <c r="D15" i="40"/>
  <c r="E36" i="6"/>
  <c r="E50" i="6"/>
  <c r="E23" i="6"/>
  <c r="E15" i="6"/>
  <c r="E27" i="6"/>
  <c r="E29" i="6"/>
  <c r="D14" i="40"/>
  <c r="E48" i="6"/>
  <c r="D60" i="6"/>
  <c r="E24" i="6"/>
  <c r="N5" i="41"/>
  <c r="AE8" i="41" s="1"/>
  <c r="E55" i="6"/>
  <c r="E34" i="6"/>
  <c r="E49" i="6"/>
  <c r="E38" i="6"/>
  <c r="E12" i="6"/>
  <c r="D20" i="40"/>
  <c r="D61" i="6"/>
  <c r="E33" i="6"/>
  <c r="E7" i="47"/>
  <c r="E11" i="6"/>
  <c r="E56" i="6"/>
  <c r="D11" i="40"/>
  <c r="E30" i="6"/>
  <c r="E4" i="47"/>
  <c r="E10" i="6"/>
  <c r="B60" i="40"/>
  <c r="F61" i="6"/>
  <c r="G39" i="6"/>
  <c r="G11" i="6"/>
  <c r="G14" i="6"/>
  <c r="G15" i="6"/>
  <c r="G30" i="6"/>
  <c r="G54" i="6"/>
  <c r="G53" i="6"/>
  <c r="G13" i="6"/>
  <c r="G40" i="6"/>
  <c r="G52" i="6"/>
  <c r="G55" i="6"/>
  <c r="G23" i="6"/>
  <c r="G36" i="6"/>
  <c r="G10" i="6"/>
  <c r="G19" i="6"/>
  <c r="G31" i="6"/>
  <c r="G48" i="6"/>
  <c r="F60" i="6"/>
  <c r="G56" i="6"/>
  <c r="F4" i="47"/>
  <c r="F15" i="40"/>
  <c r="F21" i="40"/>
  <c r="F7" i="47"/>
  <c r="F14" i="40"/>
  <c r="G33" i="6"/>
  <c r="G29" i="6"/>
  <c r="G12" i="6"/>
  <c r="G24" i="6"/>
  <c r="G38" i="6"/>
  <c r="G49" i="6"/>
  <c r="F20" i="40"/>
  <c r="F3" i="47"/>
  <c r="F33" i="40"/>
  <c r="G34" i="6"/>
  <c r="G27" i="6"/>
  <c r="G50" i="6"/>
  <c r="F34" i="40"/>
  <c r="F11" i="40"/>
  <c r="G17" i="6"/>
  <c r="E13" i="9"/>
  <c r="B15" i="9"/>
  <c r="B16" i="9" s="1"/>
  <c r="C13" i="9"/>
  <c r="C15" i="9" s="1"/>
  <c r="B20" i="12"/>
  <c r="B20" i="11"/>
  <c r="B11" i="11" s="1"/>
  <c r="B6" i="12"/>
  <c r="A15" i="42"/>
  <c r="L2" i="41"/>
  <c r="A16" i="42"/>
  <c r="D6" i="12"/>
  <c r="D20" i="12"/>
  <c r="D20" i="11"/>
  <c r="D11" i="11" s="1"/>
  <c r="AG2" i="41"/>
  <c r="P29" i="41"/>
  <c r="I16" i="42"/>
  <c r="I22" i="42" s="1"/>
  <c r="I27" i="42" s="1"/>
  <c r="M9" i="42"/>
  <c r="D27" i="7" l="1"/>
  <c r="AC4" i="41"/>
  <c r="B29" i="7"/>
  <c r="B31" i="7" s="1"/>
  <c r="B8" i="12" s="1"/>
  <c r="C27" i="7"/>
  <c r="B16" i="11"/>
  <c r="C22" i="11"/>
  <c r="C21" i="11" s="1"/>
  <c r="E16" i="11"/>
  <c r="F40" i="40"/>
  <c r="F22" i="11"/>
  <c r="F21" i="12"/>
  <c r="P15" i="41"/>
  <c r="P17" i="41" s="1"/>
  <c r="F22" i="12"/>
  <c r="G27" i="7"/>
  <c r="H21" i="7"/>
  <c r="L25" i="41"/>
  <c r="L10" i="41"/>
  <c r="N25" i="41"/>
  <c r="N10" i="41"/>
  <c r="AE5" i="41" s="1"/>
  <c r="AE6" i="41" s="1"/>
  <c r="E31" i="7"/>
  <c r="D18" i="11"/>
  <c r="F29" i="7"/>
  <c r="E13" i="11"/>
  <c r="E15" i="11"/>
  <c r="E14" i="11"/>
  <c r="E5" i="47"/>
  <c r="E8" i="47" s="1"/>
  <c r="D15" i="9"/>
  <c r="D16" i="9" s="1"/>
  <c r="N11" i="41"/>
  <c r="E10" i="8"/>
  <c r="E12" i="8"/>
  <c r="F61" i="40"/>
  <c r="C27" i="8"/>
  <c r="C28" i="8" s="1"/>
  <c r="M8" i="41"/>
  <c r="M9" i="41" s="1"/>
  <c r="B28" i="8"/>
  <c r="F9" i="9"/>
  <c r="Q7" i="41"/>
  <c r="Q9" i="41" s="1"/>
  <c r="O7" i="41"/>
  <c r="O8" i="41"/>
  <c r="E15" i="9"/>
  <c r="D60" i="40"/>
  <c r="F60" i="40"/>
  <c r="F15" i="9"/>
  <c r="F16" i="9" s="1"/>
  <c r="G13" i="9"/>
  <c r="G15" i="9" s="1"/>
  <c r="Q7" i="42"/>
  <c r="Q12" i="42" s="1"/>
  <c r="Q17" i="42" s="1"/>
  <c r="Q22" i="42" s="1"/>
  <c r="Q27" i="42" s="1"/>
  <c r="Q32" i="42" s="1"/>
  <c r="M15" i="42"/>
  <c r="M21" i="42" s="1"/>
  <c r="M27" i="42" s="1"/>
  <c r="E10" i="42"/>
  <c r="E20" i="42"/>
  <c r="I9" i="42"/>
  <c r="L29" i="41"/>
  <c r="AC2" i="41"/>
  <c r="D16" i="12"/>
  <c r="D10" i="12"/>
  <c r="D15" i="12"/>
  <c r="D22" i="12"/>
  <c r="D9" i="12"/>
  <c r="D24" i="12"/>
  <c r="D11" i="12"/>
  <c r="N2" i="41"/>
  <c r="D14" i="12"/>
  <c r="D12" i="12"/>
  <c r="D21" i="12"/>
  <c r="B11" i="12"/>
  <c r="B16" i="12"/>
  <c r="B24" i="12"/>
  <c r="B10" i="12"/>
  <c r="B12" i="12"/>
  <c r="B21" i="12"/>
  <c r="B14" i="12"/>
  <c r="B15" i="12"/>
  <c r="B9" i="12"/>
  <c r="I8" i="42"/>
  <c r="E19" i="42"/>
  <c r="E9" i="42"/>
  <c r="I15" i="11" l="1"/>
  <c r="B26" i="12"/>
  <c r="C29" i="7"/>
  <c r="C13" i="11"/>
  <c r="I18" i="11"/>
  <c r="C14" i="11"/>
  <c r="D5" i="47"/>
  <c r="D8" i="47" s="1"/>
  <c r="I16" i="11"/>
  <c r="B8" i="11" s="1"/>
  <c r="D29" i="7"/>
  <c r="B18" i="11"/>
  <c r="J17" i="11"/>
  <c r="K17" i="11" s="1"/>
  <c r="L18" i="11" s="1"/>
  <c r="I17" i="11"/>
  <c r="C16" i="11"/>
  <c r="C15" i="11"/>
  <c r="AC5" i="41"/>
  <c r="AC6" i="41" s="1"/>
  <c r="R15" i="11"/>
  <c r="S15" i="11" s="1"/>
  <c r="T16" i="11" s="1"/>
  <c r="G29" i="7"/>
  <c r="H27" i="7"/>
  <c r="R17" i="11"/>
  <c r="S17" i="11" s="1"/>
  <c r="T18" i="11" s="1"/>
  <c r="F21" i="11"/>
  <c r="G22" i="11"/>
  <c r="P21" i="41"/>
  <c r="AG4" i="41"/>
  <c r="L26" i="41"/>
  <c r="AC15" i="41"/>
  <c r="AC18" i="41" s="1"/>
  <c r="B42" i="40"/>
  <c r="B36" i="7"/>
  <c r="B41" i="40"/>
  <c r="C31" i="7"/>
  <c r="G29" i="42"/>
  <c r="B44" i="40"/>
  <c r="B45" i="40"/>
  <c r="B43" i="40"/>
  <c r="C23" i="42" s="1"/>
  <c r="B46" i="40"/>
  <c r="F31" i="7"/>
  <c r="E36" i="7"/>
  <c r="D42" i="40"/>
  <c r="D31" i="7"/>
  <c r="D41" i="40"/>
  <c r="D44" i="40"/>
  <c r="D46" i="40"/>
  <c r="D45" i="40"/>
  <c r="D43" i="40"/>
  <c r="C24" i="42" s="1"/>
  <c r="E12" i="11"/>
  <c r="D8" i="12"/>
  <c r="D7" i="12" s="1"/>
  <c r="D17" i="12" s="1"/>
  <c r="D18" i="12" s="1"/>
  <c r="AE15" i="41"/>
  <c r="AE18" i="41" s="1"/>
  <c r="N26" i="41"/>
  <c r="L13" i="41"/>
  <c r="AC9" i="41" s="1"/>
  <c r="AC10" i="41" s="1"/>
  <c r="E27" i="8"/>
  <c r="D9" i="9"/>
  <c r="O9" i="41"/>
  <c r="N13" i="41"/>
  <c r="AE9" i="41" s="1"/>
  <c r="AE10" i="41" s="1"/>
  <c r="AE12" i="41" s="1"/>
  <c r="N29" i="41"/>
  <c r="AE2" i="41"/>
  <c r="B25" i="12"/>
  <c r="M7" i="42"/>
  <c r="I14" i="42"/>
  <c r="I20" i="42" s="1"/>
  <c r="I25" i="42" s="1"/>
  <c r="I15" i="42"/>
  <c r="I21" i="42" s="1"/>
  <c r="I26" i="42" s="1"/>
  <c r="M8" i="42"/>
  <c r="B9" i="11" l="1"/>
  <c r="AC12" i="41"/>
  <c r="C15" i="12"/>
  <c r="B28" i="12"/>
  <c r="C16" i="12"/>
  <c r="C12" i="11"/>
  <c r="D26" i="12"/>
  <c r="G16" i="11"/>
  <c r="E16" i="12"/>
  <c r="D25" i="12"/>
  <c r="AC20" i="41"/>
  <c r="P10" i="41"/>
  <c r="P25" i="41"/>
  <c r="G31" i="7"/>
  <c r="H29" i="7"/>
  <c r="M17" i="11"/>
  <c r="M15" i="11"/>
  <c r="G13" i="11"/>
  <c r="F18" i="11"/>
  <c r="Q16" i="11"/>
  <c r="Q18" i="11"/>
  <c r="G14" i="11"/>
  <c r="N17" i="11"/>
  <c r="O17" i="11" s="1"/>
  <c r="P18" i="11" s="1"/>
  <c r="Q17" i="11"/>
  <c r="M18" i="11"/>
  <c r="M16" i="11"/>
  <c r="G15" i="11"/>
  <c r="Q15" i="11"/>
  <c r="F5" i="47"/>
  <c r="F8" i="47" s="1"/>
  <c r="G21" i="11"/>
  <c r="F12" i="11"/>
  <c r="G31" i="42"/>
  <c r="G30" i="42"/>
  <c r="B38" i="7"/>
  <c r="B37" i="7"/>
  <c r="AE20" i="41"/>
  <c r="E38" i="7"/>
  <c r="E37" i="7"/>
  <c r="E15" i="12"/>
  <c r="C17" i="12"/>
  <c r="D27" i="12"/>
  <c r="E17" i="12"/>
  <c r="D28" i="12"/>
  <c r="Q6" i="42"/>
  <c r="Q11" i="42" s="1"/>
  <c r="Q16" i="42" s="1"/>
  <c r="Q21" i="42" s="1"/>
  <c r="Q26" i="42" s="1"/>
  <c r="Q31" i="42" s="1"/>
  <c r="M14" i="42"/>
  <c r="M20" i="42" s="1"/>
  <c r="M26" i="42" s="1"/>
  <c r="Q5" i="42"/>
  <c r="Q10" i="42" s="1"/>
  <c r="Q15" i="42" s="1"/>
  <c r="Q20" i="42" s="1"/>
  <c r="Q25" i="42" s="1"/>
  <c r="Q30" i="42" s="1"/>
  <c r="M13" i="42"/>
  <c r="M19" i="42" s="1"/>
  <c r="M25" i="42" s="1"/>
  <c r="C18" i="12" l="1"/>
  <c r="B18" i="12"/>
  <c r="B27" i="12"/>
  <c r="D8" i="11"/>
  <c r="F9" i="11"/>
  <c r="G39" i="7"/>
  <c r="G36" i="7"/>
  <c r="G37" i="7" s="1"/>
  <c r="F8" i="11"/>
  <c r="E18" i="12"/>
  <c r="D9" i="11"/>
  <c r="AG15" i="41"/>
  <c r="AG18" i="41" s="1"/>
  <c r="P26" i="41"/>
  <c r="G12" i="11"/>
  <c r="F44" i="40"/>
  <c r="F45" i="40"/>
  <c r="F8" i="12"/>
  <c r="F7" i="12" s="1"/>
  <c r="F43" i="40"/>
  <c r="C25" i="42" s="1"/>
  <c r="H31" i="7"/>
  <c r="F42" i="40"/>
  <c r="F46" i="40"/>
  <c r="F41" i="40"/>
  <c r="AG5" i="41"/>
  <c r="AG6" i="41" s="1"/>
  <c r="P13" i="41"/>
  <c r="AG9" i="41" s="1"/>
  <c r="AG10" i="41" s="1"/>
  <c r="AG12" i="41" l="1"/>
  <c r="AG20" i="41" s="1"/>
  <c r="F25" i="12"/>
  <c r="F26" i="12"/>
  <c r="F17" i="12"/>
  <c r="G16" i="12"/>
  <c r="G15" i="12"/>
  <c r="G38" i="7"/>
  <c r="F18" i="12" l="1"/>
  <c r="F28" i="12"/>
  <c r="G17" i="12"/>
  <c r="G18" i="12" s="1"/>
  <c r="F27" i="12"/>
</calcChain>
</file>

<file path=xl/sharedStrings.xml><?xml version="1.0" encoding="utf-8"?>
<sst xmlns="http://schemas.openxmlformats.org/spreadsheetml/2006/main" count="352" uniqueCount="307">
  <si>
    <t>%</t>
  </si>
  <si>
    <t>FECHA</t>
  </si>
  <si>
    <t>ESTRUCTURA FINANCIERA</t>
  </si>
  <si>
    <t>BALANCE GENERAL</t>
  </si>
  <si>
    <t>CONCEPTOS</t>
  </si>
  <si>
    <t>TERRENOS</t>
  </si>
  <si>
    <t xml:space="preserve">  </t>
  </si>
  <si>
    <t>EDIFICIOS E INSTALACIONES</t>
  </si>
  <si>
    <t>MAQUINARIAS Y EQUIPOS</t>
  </si>
  <si>
    <t>OTROS ACTIVOS FIJOS MATERIALES</t>
  </si>
  <si>
    <t>AMORTIZACION (DEP.) ACUMULADA.</t>
  </si>
  <si>
    <t>ACTIVOS FIJOS MATERIALES NETOS</t>
  </si>
  <si>
    <t>ACTIVO INTANGIBLE NETO</t>
  </si>
  <si>
    <t>PRESTAMOS AL GRUPO A L.P.</t>
  </si>
  <si>
    <t>CARGOS DIFERIDOS A L.P.</t>
  </si>
  <si>
    <t>OTROS ACTIVOS A L.P.</t>
  </si>
  <si>
    <t>INMOVILIZADO NETO</t>
  </si>
  <si>
    <t>INVERS. FINANCIERAS TEMPORALES</t>
  </si>
  <si>
    <t>ACTIVO CIRCULANTE</t>
  </si>
  <si>
    <t>CAPITAL SOCIAL SUSCRITO</t>
  </si>
  <si>
    <t>CAPITAL NO PAGADO</t>
  </si>
  <si>
    <t>CAPITAL SOCIAL NETO</t>
  </si>
  <si>
    <t>RESERVAS</t>
  </si>
  <si>
    <t>UTILIDADES NO DISTRIBUIDAS</t>
  </si>
  <si>
    <t>RECURSOS PROPIOS (PATRIMONIO)</t>
  </si>
  <si>
    <t>INTERESES MINORITARIOS</t>
  </si>
  <si>
    <t>CTAS. POR PAGAR A L.P.</t>
  </si>
  <si>
    <t>BANCOS A LP.</t>
  </si>
  <si>
    <t>OTRAS DEUDAS FINANC, A LP.</t>
  </si>
  <si>
    <t>ADMON. PUBLICA A L.P.</t>
  </si>
  <si>
    <t>OTROS PASIVOS A L.P.</t>
  </si>
  <si>
    <t>PASIVO A LARGO PLAZO</t>
  </si>
  <si>
    <t>CTAS A PAGAR AL GRUPO C.P.</t>
  </si>
  <si>
    <t>ANTICIPOS DE CLIENTES</t>
  </si>
  <si>
    <t>ADMON. PUBLICA A C.P./IMPTOS.</t>
  </si>
  <si>
    <t>PASIVO CIRCULANTE</t>
  </si>
  <si>
    <t>TOTAL CONTINGENCIAS-CTAS DE ORDEN</t>
  </si>
  <si>
    <t>ESTRUCTURA ECONOMICA</t>
  </si>
  <si>
    <t>ESTADO DE GANANCIAS Y PERDIDAS</t>
  </si>
  <si>
    <t>. + OTROS INGRESOS OPERACIONALES</t>
  </si>
  <si>
    <t>. - COSTO DE VENTAS</t>
  </si>
  <si>
    <t>.- GASTOS DE PERSONAL</t>
  </si>
  <si>
    <t>.- AMORTIZACION Y DEPRECIACION</t>
  </si>
  <si>
    <t>.- PROVISIONES DEL CIRCULANTE</t>
  </si>
  <si>
    <t>INGRESOS FINANCIEROS</t>
  </si>
  <si>
    <t>EGRESOS FINANCIEROS</t>
  </si>
  <si>
    <t>RESULTADO EN MONEDA EXT.</t>
  </si>
  <si>
    <t>RESULTADO MONETARIO</t>
  </si>
  <si>
    <t>.+/- COSTO INTEGRAL DE FINANCIAMIENTO</t>
  </si>
  <si>
    <t>. = RESULTADO ACTIVIDADES ORDINARIAS</t>
  </si>
  <si>
    <t>.+/- RESULTADOS EXTRAORDINARIOS</t>
  </si>
  <si>
    <t>.= BENEFICIO ANTES DE IMPTOS.</t>
  </si>
  <si>
    <t>.- IMPUESTOS</t>
  </si>
  <si>
    <t>.= BENEFICIO NETO</t>
  </si>
  <si>
    <t xml:space="preserve">DIVIDENDOS </t>
  </si>
  <si>
    <t>ANALISIS DE LA ESTRUCTURA FINANCIERA</t>
  </si>
  <si>
    <t>VARIACION</t>
  </si>
  <si>
    <t>.+ PASIVO A LARGO PLAZO</t>
  </si>
  <si>
    <t>.+ INTERESES MINORITARIOS</t>
  </si>
  <si>
    <t>. = RECURSOS PERMANENTES</t>
  </si>
  <si>
    <t>. - INMOVILIZADO NETO</t>
  </si>
  <si>
    <t>ACTIVO CIRCULANTE NO FINANCIERO:</t>
  </si>
  <si>
    <t xml:space="preserve">      INVENTARIO NETO</t>
  </si>
  <si>
    <t xml:space="preserve">      CUENTAS A COBRAR COMERCIALES-NETO</t>
  </si>
  <si>
    <t xml:space="preserve">      CUENTAS A COBRAR AL GRUPO A C.P.</t>
  </si>
  <si>
    <t>.- PASIVO CIRCULANTE NO FINANCIERO</t>
  </si>
  <si>
    <t xml:space="preserve">      CUENTAS PROVEEDORES</t>
  </si>
  <si>
    <t xml:space="preserve">      CUENTAS A PAGAR AL GRUPO C.P.</t>
  </si>
  <si>
    <t xml:space="preserve">      ANTICIPOS DE CLIENTES</t>
  </si>
  <si>
    <t xml:space="preserve">      ADMINISTRACION PUBLICA A C.P.</t>
  </si>
  <si>
    <t xml:space="preserve">      OTROS PASIVOS CORRIENTES</t>
  </si>
  <si>
    <t xml:space="preserve"> = INVERSION EN CIRCULANTE</t>
  </si>
  <si>
    <t xml:space="preserve">      % SOBRE VENTAS</t>
  </si>
  <si>
    <t>TESORERIA NETA</t>
  </si>
  <si>
    <t>.+ INVERSIONES FINANCIERAS TEMPORALES</t>
  </si>
  <si>
    <t>.- BANCOS A CORTO PLAZO</t>
  </si>
  <si>
    <t>.- OTRAS DEUDAS FINANCIERAS A CORTO PLAZO</t>
  </si>
  <si>
    <t xml:space="preserve">      ANALISIS DE LA ESTRUCTURA FINANCIERA</t>
  </si>
  <si>
    <t>ANALISIS DE LA SOLVENCIA</t>
  </si>
  <si>
    <t>ANALISIS MONETARIO</t>
  </si>
  <si>
    <t>. - PASIVOS MONETARIOS</t>
  </si>
  <si>
    <t>.=POSICION MONETARIA NETA</t>
  </si>
  <si>
    <t>(- GCIA. MONET., + PDA. MONET.)</t>
  </si>
  <si>
    <t>RENTABILIDAD-BENEFICIOS</t>
  </si>
  <si>
    <t>RESULTADO EXTRAORDINARIO</t>
  </si>
  <si>
    <t>RESULTADO TIPICO</t>
  </si>
  <si>
    <t>RESULTADO FINANCIERO (INGRESOS-EGRESOS)</t>
  </si>
  <si>
    <t>RESULTADO EN MONEDA EXTRANJERA</t>
  </si>
  <si>
    <t>GENERACION DE RECURSOS</t>
  </si>
  <si>
    <t>RECURSOS GENERADOS:</t>
  </si>
  <si>
    <t xml:space="preserve">      BENEFICIO NETO</t>
  </si>
  <si>
    <t xml:space="preserve">      + AMORTIZACIONES (DEP.)</t>
  </si>
  <si>
    <t xml:space="preserve">      + PROVISIONES</t>
  </si>
  <si>
    <t xml:space="preserve">      +/- RESULTADOS EXTRAORDINARIOS</t>
  </si>
  <si>
    <t xml:space="preserve">       - DIVIDENDOS</t>
  </si>
  <si>
    <t>RESULTADO EN MONEDA EXTRAJERA</t>
  </si>
  <si>
    <t>RECURSOS GENERADOS TIPICOS</t>
  </si>
  <si>
    <t>PASIVO  A L.P./RECURSOS GENERADOS</t>
  </si>
  <si>
    <t>DEUDA FINANCIERA TOTAL/RECURSOS GENERADOS</t>
  </si>
  <si>
    <t>PASIVO A L.P./RECURSOS GENERADOS TIPICOS</t>
  </si>
  <si>
    <t>DEUDA FINANCIERA TOTAL/RECURSOS GENERADOS TIPICOS</t>
  </si>
  <si>
    <t>EBITDA/EGRESOS FINANCIEROS</t>
  </si>
  <si>
    <t>ANALISIS DEL CAPITAL DE TRABAJO</t>
  </si>
  <si>
    <t>.= CAPITAL DE TRABAJO</t>
  </si>
  <si>
    <t>CAPITAL DE TRABAJO = RECURSOS PERM. - INMOVILIZADO NETO = INVERSION EN CIRCULANTE +/- TESORERIA NETA</t>
  </si>
  <si>
    <t>CICLO ECONÓMICO (S/VTAS) = D/INVENTARIOS + D/CLIENTES - D/PROVEEDORES</t>
  </si>
  <si>
    <t>TOTAL ACTIVOS</t>
  </si>
  <si>
    <t>EFECTIVO EN CAJA Y BANCOS</t>
  </si>
  <si>
    <t>CUENTAS POR COBRAR COMERCIALES NETAS</t>
  </si>
  <si>
    <t>TOTAL PASIVO</t>
  </si>
  <si>
    <t>.- OTROS GASTOS OPERATIVOS</t>
  </si>
  <si>
    <t xml:space="preserve">      OTRAS CUENTAS POR COBRAR</t>
  </si>
  <si>
    <t xml:space="preserve">      PREPAGADOS</t>
  </si>
  <si>
    <t>ACTIVIDAD</t>
  </si>
  <si>
    <t xml:space="preserve">      CREDITOS DIFERIDOS </t>
  </si>
  <si>
    <t>CREDITOS DIFERIDOS A C.P.</t>
  </si>
  <si>
    <t>. = UTILIDAD NETA EN OPERACIONES</t>
  </si>
  <si>
    <t>Editda: Utilidad en Operaciones + Depreciación y Amortización</t>
  </si>
  <si>
    <t>UTILIDAD NETA EN OPERACIONES</t>
  </si>
  <si>
    <t>. = UTILIDAD BRUTA EN VENTAS</t>
  </si>
  <si>
    <t>COBERTURA DE ACTIVOS (REC. PERM./(INV. CIR.+INM.N))</t>
  </si>
  <si>
    <t>ENDEUDAMIENTO FINANCIERO AJUST. (P.FIN./PATRIMONIO)</t>
  </si>
  <si>
    <t>ENDEUDAMIENTO FINANCIERO HIST.(P.FIN./PATRIM.. SIN INFL.)</t>
  </si>
  <si>
    <t>RENTABILIDAD FINANCIERA (AJUST) (B.A.I./PATRIMONIO PROMEDIO.)</t>
  </si>
  <si>
    <t>RENTABILIDAD FINANCIERA (HIST.) (B.A.I./PATRIMONIO PROM. SIN INFL.)</t>
  </si>
  <si>
    <t>VAR. %</t>
  </si>
  <si>
    <t>Donde: Deuda Financiera Total = Bancos a L.P.+ Otras Deudas Financieras a L.P. + Bancos C.P. + Otras Deudas Financieras a C.P.</t>
  </si>
  <si>
    <t xml:space="preserve">OTROS PASIVOS CORRIENTES </t>
  </si>
  <si>
    <t xml:space="preserve">PREPAGADOS </t>
  </si>
  <si>
    <t xml:space="preserve">ACTIVO FINANCIERO A L.P. </t>
  </si>
  <si>
    <t>CUENTAS POR COBRAR GRUPO</t>
  </si>
  <si>
    <t>DIVIDENDOS POR PAGAR</t>
  </si>
  <si>
    <t xml:space="preserve"> </t>
  </si>
  <si>
    <t xml:space="preserve">SUPERAVIT POR REVALORIZACION INVERSIONES </t>
  </si>
  <si>
    <t>Índice</t>
  </si>
  <si>
    <t>Capital de trabajo</t>
  </si>
  <si>
    <t>LIQUIDEZ</t>
  </si>
  <si>
    <t>Indice corriente o circulante</t>
  </si>
  <si>
    <t>Prueba ácida</t>
  </si>
  <si>
    <t>Prueba super ácida</t>
  </si>
  <si>
    <t>Razón de Fondo de Maniobra</t>
  </si>
  <si>
    <t>APALANCAMIENTO y CAPITALIZACiÓN</t>
  </si>
  <si>
    <t>Índice de endeudamiento</t>
  </si>
  <si>
    <t>Índice de autonomía</t>
  </si>
  <si>
    <t>Apalancamiento externo</t>
  </si>
  <si>
    <t>Apalancamiento interno</t>
  </si>
  <si>
    <t>Capitalizacion externa</t>
  </si>
  <si>
    <t>Capitalizacion interna</t>
  </si>
  <si>
    <t>Rotación de Inventarios</t>
  </si>
  <si>
    <t>Días de Inventario</t>
  </si>
  <si>
    <t>Rotacion de cuentas por cobrar</t>
  </si>
  <si>
    <t>Días de cuentas por cobrar</t>
  </si>
  <si>
    <t>Rotación del activo fijo</t>
  </si>
  <si>
    <t>Rotación del activo total</t>
  </si>
  <si>
    <t>Rotación del Capital de Trabajo</t>
  </si>
  <si>
    <t>Período de pago</t>
  </si>
  <si>
    <t>RENTABILIDAD</t>
  </si>
  <si>
    <t>Margen de Utilidad Bruta</t>
  </si>
  <si>
    <t>Margen de Utilidad en Operaciones</t>
  </si>
  <si>
    <t>Margen de Utilidad Neta</t>
  </si>
  <si>
    <t>Rendimiento sobre activo fijo</t>
  </si>
  <si>
    <t>Rendimiento sobre activo total</t>
  </si>
  <si>
    <t>Rendimiento sobre patrimonio</t>
  </si>
  <si>
    <t>Rendimiento sobre Capital Empleado</t>
  </si>
  <si>
    <t>Rendimiento sobre Capital de Trabajo</t>
  </si>
  <si>
    <t>Descripción</t>
  </si>
  <si>
    <t>EVA = NOPAT - WACC * FINANCING</t>
  </si>
  <si>
    <t>ACTIVO FIJO NETO</t>
  </si>
  <si>
    <t>Utilidad neta operacional</t>
  </si>
  <si>
    <t>Impuesto sobre la renta</t>
  </si>
  <si>
    <t xml:space="preserve">Utilidad neta operacional </t>
  </si>
  <si>
    <t xml:space="preserve">PASIVOS </t>
  </si>
  <si>
    <t>RECURSOS PROPIOS</t>
  </si>
  <si>
    <t>Total activos</t>
  </si>
  <si>
    <t>WACC</t>
  </si>
  <si>
    <t>TASA FISCAL</t>
  </si>
  <si>
    <t>COSTO DE FINANCIAR EL NEGOCIO</t>
  </si>
  <si>
    <t>COSTO DE DEUDA</t>
  </si>
  <si>
    <t>COSTO DE PATRIMONIO</t>
  </si>
  <si>
    <t>EVA</t>
  </si>
  <si>
    <t>DEMOSTRACION:</t>
  </si>
  <si>
    <t>UTILIDAD EN OPERACIONES</t>
  </si>
  <si>
    <t>UTILIDAD</t>
  </si>
  <si>
    <t>OTROS INGRESOS Y GASTOS</t>
  </si>
  <si>
    <t>EXPECTATIVA DE LOS ACCIONISTAS</t>
  </si>
  <si>
    <t>UTILIDAD EN OPERACIONES NETA</t>
  </si>
  <si>
    <t>INTERESES</t>
  </si>
  <si>
    <t>UTILIDAD ANTES DE IMPUESTO</t>
  </si>
  <si>
    <t>IMPUESTOS y PARTIDA EXTRAORDINARIA</t>
  </si>
  <si>
    <t>UTILIDAD o PERDIDA</t>
  </si>
  <si>
    <t>CAPM</t>
  </si>
  <si>
    <t>Costo de Patrimonio (Nominal en Bolívares)</t>
  </si>
  <si>
    <t>Costo de Patrimonio (Real en Bolívares)</t>
  </si>
  <si>
    <t>Costo de Ventas</t>
  </si>
  <si>
    <t>Ventas</t>
  </si>
  <si>
    <t>Utilidad Neta</t>
  </si>
  <si>
    <t>Gasto de Venta y Adm</t>
  </si>
  <si>
    <t>Costos Operación</t>
  </si>
  <si>
    <t>Costo Int. Financ.</t>
  </si>
  <si>
    <t>ROI EARNING POWER</t>
  </si>
  <si>
    <t>Impuesto s/Renta</t>
  </si>
  <si>
    <t>Efectivo y Equivalentes</t>
  </si>
  <si>
    <t>Rotacion del Activo Total</t>
  </si>
  <si>
    <t>Activo Circulante</t>
  </si>
  <si>
    <t>Cuentas por Cobrar</t>
  </si>
  <si>
    <t>Inversion Total</t>
  </si>
  <si>
    <t>Activo Fijo</t>
  </si>
  <si>
    <t>Inventario</t>
  </si>
  <si>
    <t xml:space="preserve">SISTEMA DUPONT </t>
  </si>
  <si>
    <t>Notación</t>
  </si>
  <si>
    <t>Ponderación</t>
  </si>
  <si>
    <t>Altman</t>
  </si>
  <si>
    <t>X1</t>
  </si>
  <si>
    <t>Capital de trabajo /Total Activo</t>
  </si>
  <si>
    <t>&gt;3</t>
  </si>
  <si>
    <t>Solvente</t>
  </si>
  <si>
    <t>X2</t>
  </si>
  <si>
    <t>Utilidades Retenidas / Total Activo</t>
  </si>
  <si>
    <t>2,7&lt;=x&lt;=3</t>
  </si>
  <si>
    <t>Precaución</t>
  </si>
  <si>
    <t>X3</t>
  </si>
  <si>
    <t>Ut antes ISLR / Total Activo</t>
  </si>
  <si>
    <t>2,7&lt;=x&lt;=1,8</t>
  </si>
  <si>
    <t>Alerta</t>
  </si>
  <si>
    <t>X4</t>
  </si>
  <si>
    <t>Total Patrimonio / Total Pasivo</t>
  </si>
  <si>
    <t>x&lt;1,8</t>
  </si>
  <si>
    <t>Técnicamente quebrada</t>
  </si>
  <si>
    <t>X5</t>
  </si>
  <si>
    <t>Ventas netas / Total activos</t>
  </si>
  <si>
    <t>Riesgo Crediticio (x)</t>
  </si>
  <si>
    <t>Sánchez</t>
  </si>
  <si>
    <t>Z1</t>
  </si>
  <si>
    <t>Liquidez</t>
  </si>
  <si>
    <t>z&gt;1,4</t>
  </si>
  <si>
    <t>Crédito excelente</t>
  </si>
  <si>
    <t>Z2</t>
  </si>
  <si>
    <t>0,66&lt;=z&lt;=1,4</t>
  </si>
  <si>
    <t>Riesgo normal</t>
  </si>
  <si>
    <t>Riesgo Crediticio (z)</t>
  </si>
  <si>
    <t>Modificado</t>
  </si>
  <si>
    <t>z&lt;0,66</t>
  </si>
  <si>
    <t>Crédito riesgoso o malo</t>
  </si>
  <si>
    <t>Alman =X1*1,2+X2*1,4+X3*3,3+X4*0,6+X5*1</t>
  </si>
  <si>
    <t>Z= Z1*0,4+Z2*0,6</t>
  </si>
  <si>
    <t>Anual</t>
  </si>
  <si>
    <t>Seleccionar el ciclo temporal de análisis, si es información mesual o anual</t>
  </si>
  <si>
    <t>Carga de datos del del Balance General</t>
  </si>
  <si>
    <t>Carga de datos del estado de Ganancias y pérdidas</t>
  </si>
  <si>
    <t>Análisis Financiero de Corto y Largo Plazo</t>
  </si>
  <si>
    <t>Evaluación de Rentabilidad</t>
  </si>
  <si>
    <t>Capacidad de Pago</t>
  </si>
  <si>
    <t>Análisis de Quiebra Técnica</t>
  </si>
  <si>
    <t>Resumen de indicadores financieros</t>
  </si>
  <si>
    <t>Valor Económico Añadido</t>
  </si>
  <si>
    <t>{"IsHide":false,"SheetId":0,"Name":"ESTRUCTURA FINANCIERA","HiddenRow":0,"VisibleRange":"","SheetTheme":{"TabColor":"","BodyColor":"","BodyImage":""}}</t>
  </si>
  <si>
    <t>{"IsHide":false,"SheetId":0,"Name":"ESTRUCTURA ECONOMICA","HiddenRow":0,"VisibleRange":"","SheetTheme":{"TabColor":"","BodyColor":"","BodyImage":""}}</t>
  </si>
  <si>
    <t>{"IsHide":false,"SheetId":0,"Name":"CAPITAL DE TRABAJO","HiddenRow":0,"VisibleRange":"","SheetTheme":{"TabColor":"","BodyColor":"","BodyImage":""}}</t>
  </si>
  <si>
    <t>{"IsHide":false,"SheetId":0,"Name":"ANALISIS SOLVENCIA Y MONETARIO","HiddenRow":0,"VisibleRange":"","SheetTheme":{"TabColor":"","BodyColor":"","BodyImage":""}}</t>
  </si>
  <si>
    <t>{"IsHide":false,"SheetId":0,"Name":"RENTABILIDAD-BENEFICIOS","HiddenRow":0,"VisibleRange":"","SheetTheme":{"TabColor":"","BodyColor":"","BodyImage":""}}</t>
  </si>
  <si>
    <t>{"IsHide":false,"SheetId":0,"Name":"GENERACION DE RECURSOS","HiddenRow":0,"VisibleRange":"","SheetTheme":{"TabColor":"","BodyColor":"","BodyImage":""}}</t>
  </si>
  <si>
    <t>{"IsHide":false,"SheetId":0,"Name":"QUIEBRA","HiddenRow":0,"VisibleRange":"","SheetTheme":{"TabColor":"","BodyColor":"","BodyImage":""}}</t>
  </si>
  <si>
    <t>{"IsHide":false,"SheetId":0,"Name":"INDICES","HiddenRow":0,"VisibleRange":"","SheetTheme":{"TabColor":"","BodyColor":"","BodyImage":""}}</t>
  </si>
  <si>
    <t>{"IsHide":false,"SheetId":0,"Name":"EVA","HiddenRow":0,"VisibleRange":"","SheetTheme":{"TabColor":"","BodyColor":"","BodyImage":""}}</t>
  </si>
  <si>
    <t>{"IsHide":false,"SheetId":0,"Name":"DUPONT","HiddenRow":0,"VisibleRange":"","SheetTheme":{"TabColor":"","BodyColor":"","BodyImage":""}}</t>
  </si>
  <si>
    <t>{"Captcha":{"Heading":"Enter the number displayed below.","Message":"This is to verify that you are a human visitor, to prevent automated form submissions.","OkButton":"OK","CancelButton":"Cancel","ErrorMessage":"Your answer is incorrect, please try again."},"RequiredField":{"ErrorMessage":"The fields with the red border are required.","OkButton":"OK","DDLDefaultRequiredText":"Please Select"},"WizardButton":{"Next":"Next","Previous":"Previous","Cancel":"Cancel","Finish":"Finish"},"ToolbarButton":{"Submit":"Submit","Print":"Print","PrintAll":"Print All","Reset":"Reset","Update":"Update","Back":"Back"},"BrowserAndLocation":{"Browsers":[],"ConversionPath":"\\\\psf\\Home\\Documents\\OneDrive\\Investigación\\El valor de una empresa"},"AdvancedSettingsModels":[],"Dropbox":{"AccessToken":"","AccessSecret":""},"SpreadsheetServer":{"Username":"","Password":"","ServerUrl":""},"ConfigureSubmitDefault":{"Email":"fjcontre35@gmail.com"},"MessageBubble":{"Close":false,"TopMsg":0},"CustomizeTheme":{"Theme":""},"QrSetting":{"ShowOnConversion":true},"CongratsPage":{"LastOpenedVersion":""},"LocalWebServer":{"Port":"8888"},"SubmitDialog":{"SubmitDialogHeading":"Submit Successful.","SubmitDialogDesc":"The form was successfully submitted.","BeforeSubmitDesc":"The form is being submitted.","OfflineHeading":"Save until online","OfflineDesc":"You are currently offline and the submit failed. Do you want to save the submit and send it later when you are online.","OfflineConfirm":"Do you want to save?","OfflineSubmitHeading":"Offline forms submit confirmation","OfflineSubmitDesc":"There are Offline form(s), which are now ready to submit in server.","OfflineSubmitConfirm":"Do you want to submit?","FailOfflineHeading":"Offline Form submit failed","FailOfflineDesc":"Unable to connect to the Internet. Please try submitting the offline forms later in internet connection.","OfflineSubmitWait":"It may take sometime to finish all submits depending on the size of offline forms and internet connection.","OfflineSubmitWaitCounter":"Left","OfflineSubmitError":"Submit error: Please try later."}}</t>
  </si>
  <si>
    <t>. +ACTIVOS MONETARIOS</t>
  </si>
  <si>
    <t>_Ctrl_1</t>
  </si>
  <si>
    <t>{"WidgetClassification":3,"State":1,"HyperlinkFlavor":0,"Placement":0,"LinkTarget":0,"CellName":"_Ctrl_1","CellAddress":"='ESTRUCTURA ECONOMICA'!$A$35","WidgetName":8,"HiddenRow":1,"SheetCodeName":null,"ControlId":""}</t>
  </si>
  <si>
    <t>{"ButtonStyle":0,"Name":"http://www.prosprev.com/","CopyProtect":{"IsEnabled":false,"DomainName":""},"HideSscPoweredlogo":false,"AspnetConfig":{"BrowseUrl":"http://localhost/ssc","FileExtension":0},"NodejsConfig":{"LocalPort":3000},"SmartphoneSettings":{"ViewportLock":true,"UseOldViewEngine":false,"EnableZoom":false,"EnableSwipe":false,"HideToolbar":false,"InheritBackgroundColor":false,"CheckboxFlavor":1,"ShowBubble":false},"SmartphoneTheme":1,"Theme":{"BgColor":"#FFFFFFFF","BgImage":"","InputBorderStyle":1},"Layout":0,"LayoutConfig":{"IsSamePagesHeight":false},"Toolbar":{"Position":1,"IsSubmit":true,"IsPrint":true,"IsPrintAll":true,"IsReset":true,"IsUpdate":true},"InputDetection":0,"ConfigureSubmit":{"IsShowCaptcha":false,"IsUseSscWebServer":true,"ReceiverCode":"fjcontre35@gmail.com","IsFreeService":false,"IsAdvanceService":true,"IsSecureEmail":false,"IsDemonstrationService":false,"AfterSuccessfulSubmit":"","AfterFailSubmit":"","AfterCancelWizard":"","IsUseOwnWebServer":false,"OwnWebServerURL":"","OwnWebServerTarget":"","SubmitTarget":0},"Flavor":0,"Edition":3,"IgnoreBgInputCell":false,"LiveShare":{"Enable":false},"ResponsiveDesignSetting":{"Disabled":false},"WbUtil":{"EnableBs":true}}</t>
  </si>
  <si>
    <t>RENTABILIDAD ECONOMICA (B.A.I./VENTAS)</t>
  </si>
  <si>
    <t>EVALUACIÓN</t>
  </si>
  <si>
    <t>BENEFICIOS ANTES DE IMPUESTOS</t>
  </si>
  <si>
    <t>COMPOSICION DE LOS RECURSOS AUTOGENERADOS</t>
  </si>
  <si>
    <t>TOTAL</t>
  </si>
  <si>
    <t>CAPACIDAD DE PAGO DEUDA</t>
  </si>
  <si>
    <t>COBERTURA DE EGRESOS FINANCIEROS</t>
  </si>
  <si>
    <t>EBITDA</t>
  </si>
  <si>
    <t>ESTRUCTURA DE BENEFICIOS ANTES DE IMPUESTOS</t>
  </si>
  <si>
    <t>BENEFICIOS/VENTAS TOTALES</t>
  </si>
  <si>
    <t>Resultado de actividades ordinarias</t>
  </si>
  <si>
    <t>Beneficios antes de impuestos</t>
  </si>
  <si>
    <t>Patrimonio promedio dos años</t>
  </si>
  <si>
    <t>Patrimonio - sup por revalor</t>
  </si>
  <si>
    <t>CONCEPTOS (como % del activo total)</t>
  </si>
  <si>
    <t>Índice de endeudamiento sin ajuste por inflación</t>
  </si>
  <si>
    <t>Índice de autonomía sin ajuste por inflación</t>
  </si>
  <si>
    <t>Apalancamiento externo sin ajuste por inflación</t>
  </si>
  <si>
    <t>Apalancamiento interno sin ajuste por inflación</t>
  </si>
  <si>
    <t>Capitalizacion externa sin ajuste por inflación</t>
  </si>
  <si>
    <t>Capitalizacion interna sin ajuste por inflación</t>
  </si>
  <si>
    <t>Ciclo Económico de caja</t>
  </si>
  <si>
    <t>Si</t>
  </si>
  <si>
    <t>No</t>
  </si>
  <si>
    <t>Los estados financieros están ajustados por inflación</t>
  </si>
  <si>
    <t>Inflación del período</t>
  </si>
  <si>
    <t>DERIVADOS Y CONTRATOS DE COMPRA VENTA</t>
  </si>
  <si>
    <t>BIENES RECIBIDOS EN RECUPERACION</t>
  </si>
  <si>
    <t>DEPOSITOS A ENTIDADES FINANCIERAS</t>
  </si>
  <si>
    <t>FONDOS TOMADOS A PRESTAMOS</t>
  </si>
  <si>
    <t>BANCOS A CORTO PLAZO (Deposito al Publico)</t>
  </si>
  <si>
    <t>OBLIGACIONES ASIMILARES DE CAPITAL</t>
  </si>
  <si>
    <t>(Expresado en pesos Dominicanos DOP)</t>
  </si>
  <si>
    <t>. = INGRESOS TOTALES</t>
  </si>
  <si>
    <t>CONSUMOS(GASTOS FINANCIEROS)</t>
  </si>
  <si>
    <t xml:space="preserve">RESULTADOS NETO DE ACTIVOS FINANCIEROS A VALOR RAZONABLE </t>
  </si>
  <si>
    <t>OTROS 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</si>
</sst>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 * #,##0.00_ ;_ * \-#,##0.00_ ;_ * &quot;-&quot;??_ ;_ @_ "/>
    <numFmt numFmtId="166" formatCode="0.0"/>
    <numFmt numFmtId="167" formatCode="_(* #,##0_);_(* \(#,##0\);_(* &quot;-&quot;??_);_(@_)"/>
    <numFmt numFmtId="168" formatCode="_(* #,##0.0_);_(* \(#,##0.0\);_(* &quot;-&quot;??_);_(@_)"/>
    <numFmt numFmtId="169" formatCode="_ * #,##0_ ;_ * \-#,##0_ ;_ * &quot;-&quot;??_ ;_ @_ "/>
    <numFmt numFmtId="170" formatCode="#,##0_ ;\-#,##0\ "/>
  </numFmts>
  <fonts count="3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6"/>
      <color indexed="10"/>
      <name val="Arial"/>
      <family val="2"/>
    </font>
    <font>
      <sz val="8"/>
      <color indexed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rgb="FF3F3F76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Trebuchet MS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0"/>
      <color theme="0"/>
      <name val="Arial"/>
      <family val="2"/>
    </font>
    <font>
      <i/>
      <sz val="10"/>
      <color theme="1"/>
      <name val="Arial"/>
      <family val="2"/>
    </font>
    <font>
      <b/>
      <sz val="10"/>
      <name val="Times New Roman"/>
      <family val="1"/>
    </font>
    <font>
      <sz val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8" tint="0.39994506668294322"/>
      </left>
      <right style="thin">
        <color theme="8" tint="0.39991454817346722"/>
      </right>
      <top style="thin">
        <color theme="8" tint="0.39994506668294322"/>
      </top>
      <bottom style="medium">
        <color auto="1"/>
      </bottom>
      <diagonal/>
    </border>
    <border>
      <left style="thin">
        <color theme="8" tint="0.39991454817346722"/>
      </left>
      <right style="thin">
        <color theme="8" tint="0.39988402966399123"/>
      </right>
      <top style="medium">
        <color theme="8" tint="0.39991454817346722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9" fillId="4" borderId="16" applyNumberFormat="0" applyAlignment="0" applyProtection="0"/>
    <xf numFmtId="165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60">
    <xf numFmtId="0" fontId="0" fillId="0" borderId="0" xfId="0"/>
    <xf numFmtId="0" fontId="0" fillId="0" borderId="0" xfId="0" applyAlignment="1">
      <alignment horizontal="centerContinuous"/>
    </xf>
    <xf numFmtId="0" fontId="0" fillId="0" borderId="4" xfId="0" applyBorder="1"/>
    <xf numFmtId="0" fontId="0" fillId="0" borderId="5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1" fillId="0" borderId="0" xfId="0" applyFont="1"/>
    <xf numFmtId="0" fontId="0" fillId="0" borderId="6" xfId="0" applyBorder="1"/>
    <xf numFmtId="0" fontId="0" fillId="0" borderId="7" xfId="0" applyBorder="1"/>
    <xf numFmtId="1" fontId="0" fillId="0" borderId="0" xfId="0" applyNumberFormat="1"/>
    <xf numFmtId="0" fontId="0" fillId="0" borderId="2" xfId="0" applyBorder="1" applyAlignment="1">
      <alignment horizontal="centerContinuous"/>
    </xf>
    <xf numFmtId="0" fontId="4" fillId="0" borderId="0" xfId="0" applyFont="1"/>
    <xf numFmtId="0" fontId="8" fillId="0" borderId="9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8" fillId="0" borderId="5" xfId="0" applyFont="1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7" fillId="0" borderId="9" xfId="0" applyFont="1" applyBorder="1" applyAlignment="1">
      <alignment horizontal="centerContinuous"/>
    </xf>
    <xf numFmtId="0" fontId="0" fillId="0" borderId="0" xfId="0" applyAlignment="1">
      <alignment horizontal="right"/>
    </xf>
    <xf numFmtId="9" fontId="0" fillId="0" borderId="0" xfId="0" applyNumberFormat="1"/>
    <xf numFmtId="2" fontId="0" fillId="0" borderId="0" xfId="0" applyNumberFormat="1"/>
    <xf numFmtId="0" fontId="12" fillId="0" borderId="3" xfId="0" applyFont="1" applyBorder="1"/>
    <xf numFmtId="0" fontId="12" fillId="0" borderId="0" xfId="0" applyFont="1"/>
    <xf numFmtId="0" fontId="6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15" fillId="2" borderId="0" xfId="0" applyFont="1" applyFill="1" applyAlignment="1">
      <alignment horizontal="centerContinuous"/>
    </xf>
    <xf numFmtId="0" fontId="15" fillId="2" borderId="0" xfId="0" applyFont="1" applyFill="1"/>
    <xf numFmtId="0" fontId="13" fillId="0" borderId="0" xfId="0" applyFont="1" applyAlignment="1">
      <alignment horizontal="center"/>
    </xf>
    <xf numFmtId="1" fontId="0" fillId="0" borderId="0" xfId="0" applyNumberFormat="1" applyAlignment="1">
      <alignment horizontal="centerContinuous"/>
    </xf>
    <xf numFmtId="1" fontId="2" fillId="0" borderId="0" xfId="0" applyNumberFormat="1" applyFont="1"/>
    <xf numFmtId="167" fontId="0" fillId="0" borderId="0" xfId="2" applyNumberFormat="1" applyFont="1"/>
    <xf numFmtId="0" fontId="20" fillId="0" borderId="17" xfId="2" applyNumberFormat="1" applyFont="1" applyBorder="1"/>
    <xf numFmtId="0" fontId="20" fillId="0" borderId="18" xfId="2" applyNumberFormat="1" applyFont="1" applyBorder="1"/>
    <xf numFmtId="167" fontId="20" fillId="5" borderId="20" xfId="2" applyNumberFormat="1" applyFont="1" applyFill="1" applyBorder="1"/>
    <xf numFmtId="167" fontId="20" fillId="5" borderId="21" xfId="2" applyNumberFormat="1" applyFont="1" applyFill="1" applyBorder="1"/>
    <xf numFmtId="0" fontId="21" fillId="0" borderId="17" xfId="0" applyFont="1" applyBorder="1"/>
    <xf numFmtId="43" fontId="21" fillId="0" borderId="17" xfId="2" applyNumberFormat="1" applyFont="1" applyBorder="1"/>
    <xf numFmtId="0" fontId="21" fillId="0" borderId="18" xfId="0" applyFont="1" applyBorder="1"/>
    <xf numFmtId="2" fontId="21" fillId="0" borderId="18" xfId="0" applyNumberFormat="1" applyFont="1" applyBorder="1"/>
    <xf numFmtId="43" fontId="21" fillId="5" borderId="17" xfId="2" applyNumberFormat="1" applyFont="1" applyFill="1" applyBorder="1"/>
    <xf numFmtId="2" fontId="21" fillId="5" borderId="18" xfId="0" applyNumberFormat="1" applyFont="1" applyFill="1" applyBorder="1"/>
    <xf numFmtId="165" fontId="21" fillId="5" borderId="17" xfId="2" applyFont="1" applyFill="1" applyBorder="1"/>
    <xf numFmtId="0" fontId="20" fillId="5" borderId="23" xfId="2" applyNumberFormat="1" applyFont="1" applyFill="1" applyBorder="1"/>
    <xf numFmtId="0" fontId="20" fillId="5" borderId="24" xfId="2" applyNumberFormat="1" applyFont="1" applyFill="1" applyBorder="1"/>
    <xf numFmtId="167" fontId="21" fillId="0" borderId="17" xfId="2" applyNumberFormat="1" applyFont="1" applyBorder="1"/>
    <xf numFmtId="166" fontId="21" fillId="0" borderId="18" xfId="0" applyNumberFormat="1" applyFont="1" applyBorder="1"/>
    <xf numFmtId="166" fontId="21" fillId="5" borderId="17" xfId="0" applyNumberFormat="1" applyFont="1" applyFill="1" applyBorder="1"/>
    <xf numFmtId="166" fontId="21" fillId="5" borderId="18" xfId="0" applyNumberFormat="1" applyFont="1" applyFill="1" applyBorder="1"/>
    <xf numFmtId="168" fontId="21" fillId="5" borderId="24" xfId="2" applyNumberFormat="1" applyFont="1" applyFill="1" applyBorder="1"/>
    <xf numFmtId="2" fontId="21" fillId="5" borderId="24" xfId="0" applyNumberFormat="1" applyFont="1" applyFill="1" applyBorder="1"/>
    <xf numFmtId="166" fontId="21" fillId="0" borderId="24" xfId="0" applyNumberFormat="1" applyFont="1" applyBorder="1"/>
    <xf numFmtId="166" fontId="21" fillId="0" borderId="0" xfId="0" applyNumberFormat="1" applyFont="1"/>
    <xf numFmtId="166" fontId="21" fillId="0" borderId="25" xfId="0" applyNumberFormat="1" applyFont="1" applyBorder="1"/>
    <xf numFmtId="9" fontId="21" fillId="5" borderId="17" xfId="3" applyFont="1" applyFill="1" applyBorder="1"/>
    <xf numFmtId="9" fontId="21" fillId="5" borderId="18" xfId="3" applyFont="1" applyFill="1" applyBorder="1"/>
    <xf numFmtId="9" fontId="21" fillId="0" borderId="17" xfId="3" applyFont="1" applyBorder="1"/>
    <xf numFmtId="9" fontId="21" fillId="0" borderId="18" xfId="3" applyFont="1" applyBorder="1"/>
    <xf numFmtId="9" fontId="20" fillId="5" borderId="17" xfId="3" applyFont="1" applyFill="1" applyBorder="1"/>
    <xf numFmtId="9" fontId="20" fillId="5" borderId="18" xfId="3" applyFont="1" applyFill="1" applyBorder="1"/>
    <xf numFmtId="9" fontId="20" fillId="0" borderId="17" xfId="3" applyFont="1" applyBorder="1"/>
    <xf numFmtId="9" fontId="20" fillId="0" borderId="18" xfId="3" applyFont="1" applyBorder="1"/>
    <xf numFmtId="9" fontId="21" fillId="0" borderId="23" xfId="3" applyFont="1" applyBorder="1"/>
    <xf numFmtId="9" fontId="21" fillId="0" borderId="24" xfId="3" applyFont="1" applyBorder="1"/>
    <xf numFmtId="165" fontId="0" fillId="0" borderId="0" xfId="2" applyFont="1"/>
    <xf numFmtId="43" fontId="0" fillId="0" borderId="0" xfId="2" applyNumberFormat="1" applyFont="1"/>
    <xf numFmtId="2" fontId="21" fillId="0" borderId="17" xfId="0" applyNumberFormat="1" applyFont="1" applyBorder="1"/>
    <xf numFmtId="2" fontId="21" fillId="5" borderId="17" xfId="0" applyNumberFormat="1" applyFont="1" applyFill="1" applyBorder="1"/>
    <xf numFmtId="166" fontId="21" fillId="0" borderId="17" xfId="0" applyNumberFormat="1" applyFont="1" applyBorder="1"/>
    <xf numFmtId="0" fontId="21" fillId="0" borderId="0" xfId="0" applyFont="1"/>
    <xf numFmtId="9" fontId="21" fillId="0" borderId="0" xfId="3" applyFont="1" applyFill="1"/>
    <xf numFmtId="0" fontId="22" fillId="0" borderId="15" xfId="1" applyFont="1" applyFill="1" applyBorder="1"/>
    <xf numFmtId="1" fontId="22" fillId="0" borderId="15" xfId="1" applyNumberFormat="1" applyFont="1" applyFill="1" applyBorder="1"/>
    <xf numFmtId="0" fontId="22" fillId="0" borderId="0" xfId="1" applyFont="1" applyFill="1" applyBorder="1"/>
    <xf numFmtId="49" fontId="22" fillId="0" borderId="0" xfId="1" applyNumberFormat="1" applyFont="1" applyFill="1" applyBorder="1"/>
    <xf numFmtId="0" fontId="21" fillId="0" borderId="24" xfId="0" applyFont="1" applyBorder="1"/>
    <xf numFmtId="3" fontId="21" fillId="0" borderId="24" xfId="0" applyNumberFormat="1" applyFont="1" applyBorder="1"/>
    <xf numFmtId="9" fontId="21" fillId="0" borderId="24" xfId="3" applyFont="1" applyFill="1" applyBorder="1"/>
    <xf numFmtId="9" fontId="21" fillId="0" borderId="0" xfId="3" applyFont="1" applyFill="1" applyBorder="1"/>
    <xf numFmtId="0" fontId="20" fillId="0" borderId="24" xfId="0" applyFont="1" applyBorder="1"/>
    <xf numFmtId="9" fontId="21" fillId="0" borderId="24" xfId="0" applyNumberFormat="1" applyFont="1" applyBorder="1"/>
    <xf numFmtId="9" fontId="21" fillId="0" borderId="0" xfId="0" applyNumberFormat="1" applyFont="1"/>
    <xf numFmtId="9" fontId="21" fillId="0" borderId="24" xfId="4" applyFont="1" applyFill="1" applyBorder="1"/>
    <xf numFmtId="3" fontId="20" fillId="0" borderId="24" xfId="0" applyNumberFormat="1" applyFont="1" applyBorder="1"/>
    <xf numFmtId="0" fontId="23" fillId="0" borderId="0" xfId="0" applyFont="1"/>
    <xf numFmtId="10" fontId="21" fillId="0" borderId="0" xfId="0" applyNumberFormat="1" applyFont="1"/>
    <xf numFmtId="0" fontId="20" fillId="0" borderId="0" xfId="0" applyFont="1"/>
    <xf numFmtId="3" fontId="21" fillId="0" borderId="0" xfId="0" applyNumberFormat="1" applyFont="1"/>
    <xf numFmtId="0" fontId="24" fillId="0" borderId="26" xfId="0" applyFont="1" applyBorder="1"/>
    <xf numFmtId="10" fontId="24" fillId="0" borderId="26" xfId="3" applyNumberFormat="1" applyFont="1" applyFill="1" applyBorder="1"/>
    <xf numFmtId="0" fontId="21" fillId="0" borderId="26" xfId="0" applyFont="1" applyBorder="1"/>
    <xf numFmtId="165" fontId="0" fillId="0" borderId="0" xfId="2" applyFont="1" applyBorder="1"/>
    <xf numFmtId="0" fontId="20" fillId="0" borderId="27" xfId="2" applyNumberFormat="1" applyFont="1" applyBorder="1"/>
    <xf numFmtId="167" fontId="20" fillId="5" borderId="28" xfId="2" applyNumberFormat="1" applyFont="1" applyFill="1" applyBorder="1"/>
    <xf numFmtId="0" fontId="21" fillId="0" borderId="27" xfId="0" applyFont="1" applyBorder="1"/>
    <xf numFmtId="2" fontId="21" fillId="0" borderId="27" xfId="0" applyNumberFormat="1" applyFont="1" applyBorder="1"/>
    <xf numFmtId="2" fontId="21" fillId="5" borderId="27" xfId="0" applyNumberFormat="1" applyFont="1" applyFill="1" applyBorder="1"/>
    <xf numFmtId="0" fontId="20" fillId="5" borderId="29" xfId="2" applyNumberFormat="1" applyFont="1" applyFill="1" applyBorder="1"/>
    <xf numFmtId="166" fontId="21" fillId="0" borderId="27" xfId="0" applyNumberFormat="1" applyFont="1" applyBorder="1"/>
    <xf numFmtId="166" fontId="21" fillId="5" borderId="27" xfId="0" applyNumberFormat="1" applyFont="1" applyFill="1" applyBorder="1"/>
    <xf numFmtId="2" fontId="21" fillId="5" borderId="22" xfId="0" applyNumberFormat="1" applyFont="1" applyFill="1" applyBorder="1"/>
    <xf numFmtId="166" fontId="21" fillId="0" borderId="22" xfId="0" applyNumberFormat="1" applyFont="1" applyBorder="1"/>
    <xf numFmtId="9" fontId="21" fillId="5" borderId="27" xfId="3" applyFont="1" applyFill="1" applyBorder="1"/>
    <xf numFmtId="9" fontId="21" fillId="0" borderId="27" xfId="3" applyFont="1" applyBorder="1"/>
    <xf numFmtId="9" fontId="20" fillId="5" borderId="27" xfId="3" applyFont="1" applyFill="1" applyBorder="1"/>
    <xf numFmtId="9" fontId="20" fillId="0" borderId="27" xfId="3" applyFont="1" applyBorder="1"/>
    <xf numFmtId="9" fontId="21" fillId="0" borderId="29" xfId="3" applyFont="1" applyBorder="1"/>
    <xf numFmtId="0" fontId="27" fillId="2" borderId="20" xfId="0" applyFont="1" applyFill="1" applyBorder="1"/>
    <xf numFmtId="0" fontId="27" fillId="2" borderId="21" xfId="0" applyFont="1" applyFill="1" applyBorder="1"/>
    <xf numFmtId="0" fontId="27" fillId="2" borderId="17" xfId="0" applyFont="1" applyFill="1" applyBorder="1"/>
    <xf numFmtId="0" fontId="27" fillId="2" borderId="24" xfId="0" applyFont="1" applyFill="1" applyBorder="1"/>
    <xf numFmtId="0" fontId="27" fillId="2" borderId="18" xfId="0" applyFont="1" applyFill="1" applyBorder="1"/>
    <xf numFmtId="0" fontId="27" fillId="2" borderId="23" xfId="0" applyFont="1" applyFill="1" applyBorder="1"/>
    <xf numFmtId="0" fontId="27" fillId="2" borderId="0" xfId="0" applyFont="1" applyFill="1"/>
    <xf numFmtId="0" fontId="28" fillId="0" borderId="0" xfId="0" applyFont="1"/>
    <xf numFmtId="0" fontId="28" fillId="0" borderId="0" xfId="0" applyFont="1" applyAlignment="1">
      <alignment horizontal="center"/>
    </xf>
    <xf numFmtId="0" fontId="9" fillId="0" borderId="0" xfId="0" applyFont="1"/>
    <xf numFmtId="0" fontId="21" fillId="0" borderId="0" xfId="0" applyFont="1" applyProtection="1">
      <protection locked="0"/>
    </xf>
    <xf numFmtId="0" fontId="0" fillId="0" borderId="0" xfId="0" applyProtection="1">
      <protection locked="0"/>
    </xf>
    <xf numFmtId="0" fontId="1" fillId="0" borderId="0" xfId="0" applyFont="1" applyAlignment="1">
      <alignment horizontal="left" vertical="top" wrapText="1"/>
    </xf>
    <xf numFmtId="0" fontId="25" fillId="0" borderId="17" xfId="0" applyFont="1" applyBorder="1"/>
    <xf numFmtId="0" fontId="25" fillId="0" borderId="24" xfId="0" applyFont="1" applyBorder="1"/>
    <xf numFmtId="0" fontId="27" fillId="0" borderId="24" xfId="0" applyFont="1" applyBorder="1"/>
    <xf numFmtId="2" fontId="27" fillId="0" borderId="24" xfId="0" applyNumberFormat="1" applyFont="1" applyBorder="1"/>
    <xf numFmtId="0" fontId="27" fillId="0" borderId="17" xfId="0" applyFont="1" applyBorder="1"/>
    <xf numFmtId="2" fontId="27" fillId="0" borderId="17" xfId="0" applyNumberFormat="1" applyFont="1" applyBorder="1"/>
    <xf numFmtId="2" fontId="25" fillId="0" borderId="24" xfId="0" applyNumberFormat="1" applyFont="1" applyBorder="1"/>
    <xf numFmtId="0" fontId="25" fillId="0" borderId="23" xfId="0" applyFont="1" applyBorder="1"/>
    <xf numFmtId="0" fontId="20" fillId="0" borderId="17" xfId="0" applyFont="1" applyBorder="1"/>
    <xf numFmtId="0" fontId="20" fillId="0" borderId="19" xfId="0" applyFont="1" applyBorder="1" applyAlignment="1">
      <alignment horizontal="left"/>
    </xf>
    <xf numFmtId="0" fontId="20" fillId="0" borderId="22" xfId="0" applyFont="1" applyBorder="1" applyAlignment="1">
      <alignment horizontal="left"/>
    </xf>
    <xf numFmtId="0" fontId="21" fillId="0" borderId="23" xfId="0" applyFont="1" applyBorder="1"/>
    <xf numFmtId="0" fontId="1" fillId="0" borderId="13" xfId="0" applyFont="1" applyBorder="1"/>
    <xf numFmtId="0" fontId="0" fillId="0" borderId="12" xfId="0" applyBorder="1"/>
    <xf numFmtId="3" fontId="0" fillId="0" borderId="0" xfId="0" applyNumberFormat="1"/>
    <xf numFmtId="10" fontId="24" fillId="6" borderId="26" xfId="3" applyNumberFormat="1" applyFont="1" applyFill="1" applyBorder="1" applyProtection="1">
      <protection locked="0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Continuous"/>
    </xf>
    <xf numFmtId="0" fontId="29" fillId="0" borderId="0" xfId="0" applyFont="1"/>
    <xf numFmtId="0" fontId="29" fillId="0" borderId="10" xfId="0" applyFont="1" applyBorder="1"/>
    <xf numFmtId="0" fontId="30" fillId="0" borderId="0" xfId="0" applyFont="1" applyAlignment="1">
      <alignment horizontal="left" vertical="top"/>
    </xf>
    <xf numFmtId="43" fontId="1" fillId="0" borderId="0" xfId="2" applyNumberFormat="1" applyFont="1" applyAlignment="1">
      <alignment vertical="top" wrapText="1"/>
    </xf>
    <xf numFmtId="0" fontId="6" fillId="0" borderId="0" xfId="0" applyFont="1" applyAlignment="1">
      <alignment vertical="top" wrapText="1"/>
    </xf>
    <xf numFmtId="1" fontId="6" fillId="0" borderId="0" xfId="0" applyNumberFormat="1" applyFont="1" applyAlignment="1">
      <alignment vertical="top" wrapText="1"/>
    </xf>
    <xf numFmtId="0" fontId="6" fillId="0" borderId="0" xfId="0" applyFont="1" applyAlignment="1">
      <alignment wrapText="1"/>
    </xf>
    <xf numFmtId="169" fontId="0" fillId="3" borderId="36" xfId="2" applyNumberFormat="1" applyFont="1" applyFill="1" applyBorder="1" applyAlignment="1" applyProtection="1">
      <alignment vertical="top" wrapText="1"/>
    </xf>
    <xf numFmtId="169" fontId="0" fillId="3" borderId="37" xfId="2" applyNumberFormat="1" applyFont="1" applyFill="1" applyBorder="1" applyAlignment="1" applyProtection="1">
      <alignment horizontal="center" vertical="center"/>
    </xf>
    <xf numFmtId="0" fontId="11" fillId="0" borderId="8" xfId="0" applyFont="1" applyBorder="1" applyAlignment="1">
      <alignment horizontal="center"/>
    </xf>
    <xf numFmtId="169" fontId="14" fillId="0" borderId="0" xfId="0" applyNumberFormat="1" applyFont="1" applyAlignment="1">
      <alignment horizontal="center"/>
    </xf>
    <xf numFmtId="3" fontId="0" fillId="3" borderId="8" xfId="2" applyNumberFormat="1" applyFont="1" applyFill="1" applyBorder="1" applyAlignment="1" applyProtection="1">
      <alignment horizontal="right"/>
      <protection locked="0"/>
    </xf>
    <xf numFmtId="3" fontId="0" fillId="2" borderId="8" xfId="0" applyNumberFormat="1" applyFill="1" applyBorder="1" applyAlignment="1">
      <alignment horizontal="right"/>
    </xf>
    <xf numFmtId="3" fontId="0" fillId="0" borderId="8" xfId="0" applyNumberFormat="1" applyBorder="1" applyAlignment="1">
      <alignment horizontal="right"/>
    </xf>
    <xf numFmtId="3" fontId="0" fillId="0" borderId="8" xfId="2" applyNumberFormat="1" applyFont="1" applyBorder="1" applyAlignment="1" applyProtection="1">
      <alignment horizontal="right"/>
    </xf>
    <xf numFmtId="3" fontId="10" fillId="3" borderId="8" xfId="2" applyNumberFormat="1" applyFont="1" applyFill="1" applyBorder="1" applyAlignment="1" applyProtection="1">
      <alignment horizontal="right"/>
      <protection locked="0"/>
    </xf>
    <xf numFmtId="3" fontId="10" fillId="0" borderId="8" xfId="0" applyNumberFormat="1" applyFont="1" applyBorder="1" applyAlignment="1">
      <alignment horizontal="right"/>
    </xf>
    <xf numFmtId="49" fontId="25" fillId="0" borderId="24" xfId="0" applyNumberFormat="1" applyFont="1" applyBorder="1"/>
    <xf numFmtId="49" fontId="20" fillId="0" borderId="17" xfId="0" applyNumberFormat="1" applyFont="1" applyBorder="1"/>
    <xf numFmtId="49" fontId="20" fillId="0" borderId="22" xfId="0" applyNumberFormat="1" applyFont="1" applyBorder="1" applyAlignment="1">
      <alignment horizontal="left"/>
    </xf>
    <xf numFmtId="3" fontId="0" fillId="0" borderId="13" xfId="2" applyNumberFormat="1" applyFont="1" applyBorder="1" applyAlignment="1">
      <alignment horizontal="right"/>
    </xf>
    <xf numFmtId="3" fontId="0" fillId="0" borderId="11" xfId="2" applyNumberFormat="1" applyFont="1" applyBorder="1" applyAlignment="1">
      <alignment horizontal="right"/>
    </xf>
    <xf numFmtId="170" fontId="0" fillId="0" borderId="13" xfId="2" applyNumberFormat="1" applyFont="1" applyBorder="1" applyAlignment="1">
      <alignment horizontal="right"/>
    </xf>
    <xf numFmtId="10" fontId="0" fillId="0" borderId="13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3" fontId="0" fillId="0" borderId="8" xfId="2" applyNumberFormat="1" applyFont="1" applyBorder="1" applyAlignment="1">
      <alignment horizontal="right"/>
    </xf>
    <xf numFmtId="0" fontId="7" fillId="0" borderId="38" xfId="0" applyFont="1" applyBorder="1" applyAlignment="1">
      <alignment horizontal="centerContinuous"/>
    </xf>
    <xf numFmtId="0" fontId="0" fillId="0" borderId="39" xfId="0" applyBorder="1" applyAlignment="1">
      <alignment horizontal="centerContinuous"/>
    </xf>
    <xf numFmtId="0" fontId="0" fillId="0" borderId="40" xfId="0" applyBorder="1" applyAlignment="1">
      <alignment horizontal="centerContinuous"/>
    </xf>
    <xf numFmtId="49" fontId="22" fillId="0" borderId="15" xfId="1" applyNumberFormat="1" applyFont="1" applyFill="1" applyBorder="1"/>
    <xf numFmtId="49" fontId="21" fillId="0" borderId="0" xfId="0" applyNumberFormat="1" applyFont="1"/>
    <xf numFmtId="49" fontId="20" fillId="0" borderId="26" xfId="0" applyNumberFormat="1" applyFont="1" applyBorder="1"/>
    <xf numFmtId="49" fontId="0" fillId="0" borderId="0" xfId="0" applyNumberFormat="1"/>
    <xf numFmtId="49" fontId="1" fillId="0" borderId="0" xfId="0" applyNumberFormat="1" applyFont="1"/>
    <xf numFmtId="43" fontId="0" fillId="0" borderId="0" xfId="2" applyNumberFormat="1" applyFont="1" applyAlignment="1">
      <alignment horizontal="right"/>
    </xf>
    <xf numFmtId="167" fontId="0" fillId="0" borderId="0" xfId="2" applyNumberFormat="1" applyFont="1" applyAlignment="1">
      <alignment horizontal="right"/>
    </xf>
    <xf numFmtId="49" fontId="20" fillId="0" borderId="17" xfId="2" applyNumberFormat="1" applyFont="1" applyFill="1" applyBorder="1" applyAlignment="1">
      <alignment horizontal="right"/>
    </xf>
    <xf numFmtId="49" fontId="20" fillId="0" borderId="18" xfId="2" applyNumberFormat="1" applyFont="1" applyFill="1" applyBorder="1" applyAlignment="1">
      <alignment horizontal="right"/>
    </xf>
    <xf numFmtId="167" fontId="20" fillId="0" borderId="20" xfId="2" applyNumberFormat="1" applyFont="1" applyFill="1" applyBorder="1" applyAlignment="1">
      <alignment horizontal="right"/>
    </xf>
    <xf numFmtId="167" fontId="20" fillId="0" borderId="32" xfId="2" applyNumberFormat="1" applyFont="1" applyFill="1" applyBorder="1" applyAlignment="1">
      <alignment horizontal="right"/>
    </xf>
    <xf numFmtId="167" fontId="20" fillId="0" borderId="21" xfId="2" applyNumberFormat="1" applyFont="1" applyFill="1" applyBorder="1" applyAlignment="1">
      <alignment horizontal="right"/>
    </xf>
    <xf numFmtId="43" fontId="21" fillId="0" borderId="17" xfId="2" applyNumberFormat="1" applyFont="1" applyFill="1" applyBorder="1" applyAlignment="1">
      <alignment horizontal="right"/>
    </xf>
    <xf numFmtId="43" fontId="21" fillId="0" borderId="32" xfId="2" applyNumberFormat="1" applyFont="1" applyFill="1" applyBorder="1" applyAlignment="1">
      <alignment horizontal="right"/>
    </xf>
    <xf numFmtId="0" fontId="21" fillId="0" borderId="17" xfId="0" applyFont="1" applyBorder="1" applyAlignment="1">
      <alignment horizontal="right"/>
    </xf>
    <xf numFmtId="0" fontId="21" fillId="0" borderId="18" xfId="0" applyFont="1" applyBorder="1" applyAlignment="1">
      <alignment horizontal="right"/>
    </xf>
    <xf numFmtId="49" fontId="20" fillId="0" borderId="32" xfId="2" applyNumberFormat="1" applyFont="1" applyFill="1" applyBorder="1" applyAlignment="1">
      <alignment horizontal="right"/>
    </xf>
    <xf numFmtId="43" fontId="21" fillId="0" borderId="18" xfId="2" applyNumberFormat="1" applyFont="1" applyFill="1" applyBorder="1" applyAlignment="1">
      <alignment horizontal="right"/>
    </xf>
    <xf numFmtId="165" fontId="21" fillId="0" borderId="17" xfId="2" applyFont="1" applyFill="1" applyBorder="1" applyAlignment="1">
      <alignment horizontal="right"/>
    </xf>
    <xf numFmtId="165" fontId="21" fillId="0" borderId="32" xfId="2" applyFont="1" applyFill="1" applyBorder="1" applyAlignment="1">
      <alignment horizontal="right"/>
    </xf>
    <xf numFmtId="165" fontId="21" fillId="0" borderId="18" xfId="2" applyFont="1" applyFill="1" applyBorder="1" applyAlignment="1">
      <alignment horizontal="right"/>
    </xf>
    <xf numFmtId="49" fontId="20" fillId="0" borderId="23" xfId="2" applyNumberFormat="1" applyFont="1" applyFill="1" applyBorder="1" applyAlignment="1">
      <alignment horizontal="right"/>
    </xf>
    <xf numFmtId="49" fontId="20" fillId="0" borderId="24" xfId="2" applyNumberFormat="1" applyFont="1" applyFill="1" applyBorder="1" applyAlignment="1">
      <alignment horizontal="right"/>
    </xf>
    <xf numFmtId="167" fontId="21" fillId="0" borderId="17" xfId="2" applyNumberFormat="1" applyFont="1" applyFill="1" applyBorder="1" applyAlignment="1">
      <alignment horizontal="right"/>
    </xf>
    <xf numFmtId="167" fontId="21" fillId="0" borderId="32" xfId="2" applyNumberFormat="1" applyFont="1" applyFill="1" applyBorder="1" applyAlignment="1">
      <alignment horizontal="right"/>
    </xf>
    <xf numFmtId="167" fontId="21" fillId="0" borderId="18" xfId="2" applyNumberFormat="1" applyFont="1" applyFill="1" applyBorder="1" applyAlignment="1">
      <alignment horizontal="right"/>
    </xf>
    <xf numFmtId="1" fontId="21" fillId="0" borderId="18" xfId="0" applyNumberFormat="1" applyFont="1" applyBorder="1" applyAlignment="1">
      <alignment horizontal="right"/>
    </xf>
    <xf numFmtId="1" fontId="21" fillId="0" borderId="17" xfId="0" applyNumberFormat="1" applyFont="1" applyBorder="1" applyAlignment="1">
      <alignment horizontal="right"/>
    </xf>
    <xf numFmtId="2" fontId="21" fillId="0" borderId="17" xfId="0" applyNumberFormat="1" applyFont="1" applyBorder="1" applyAlignment="1">
      <alignment horizontal="right"/>
    </xf>
    <xf numFmtId="2" fontId="21" fillId="0" borderId="18" xfId="0" applyNumberFormat="1" applyFont="1" applyBorder="1" applyAlignment="1">
      <alignment horizontal="right"/>
    </xf>
    <xf numFmtId="167" fontId="21" fillId="0" borderId="24" xfId="2" applyNumberFormat="1" applyFont="1" applyFill="1" applyBorder="1" applyAlignment="1">
      <alignment horizontal="right"/>
    </xf>
    <xf numFmtId="167" fontId="21" fillId="0" borderId="33" xfId="2" applyNumberFormat="1" applyFont="1" applyFill="1" applyBorder="1" applyAlignment="1">
      <alignment horizontal="right"/>
    </xf>
    <xf numFmtId="167" fontId="21" fillId="0" borderId="24" xfId="0" applyNumberFormat="1" applyFont="1" applyBorder="1" applyAlignment="1">
      <alignment horizontal="right"/>
    </xf>
    <xf numFmtId="43" fontId="21" fillId="0" borderId="0" xfId="2" applyNumberFormat="1" applyFont="1" applyFill="1" applyBorder="1" applyAlignment="1">
      <alignment horizontal="right"/>
    </xf>
    <xf numFmtId="166" fontId="21" fillId="0" borderId="0" xfId="0" applyNumberFormat="1" applyFont="1" applyAlignment="1">
      <alignment horizontal="right"/>
    </xf>
    <xf numFmtId="166" fontId="21" fillId="0" borderId="25" xfId="0" applyNumberFormat="1" applyFont="1" applyBorder="1" applyAlignment="1">
      <alignment horizontal="right"/>
    </xf>
    <xf numFmtId="10" fontId="21" fillId="0" borderId="17" xfId="3" applyNumberFormat="1" applyFont="1" applyFill="1" applyBorder="1" applyAlignment="1">
      <alignment horizontal="right"/>
    </xf>
    <xf numFmtId="10" fontId="21" fillId="0" borderId="32" xfId="3" applyNumberFormat="1" applyFont="1" applyFill="1" applyBorder="1" applyAlignment="1">
      <alignment horizontal="right"/>
    </xf>
    <xf numFmtId="10" fontId="21" fillId="0" borderId="18" xfId="3" applyNumberFormat="1" applyFont="1" applyFill="1" applyBorder="1" applyAlignment="1">
      <alignment horizontal="right"/>
    </xf>
    <xf numFmtId="9" fontId="21" fillId="0" borderId="17" xfId="3" applyFont="1" applyFill="1" applyBorder="1" applyAlignment="1">
      <alignment horizontal="right"/>
    </xf>
    <xf numFmtId="9" fontId="21" fillId="0" borderId="32" xfId="3" applyFont="1" applyFill="1" applyBorder="1" applyAlignment="1">
      <alignment horizontal="right"/>
    </xf>
    <xf numFmtId="9" fontId="21" fillId="0" borderId="18" xfId="3" applyFont="1" applyFill="1" applyBorder="1" applyAlignment="1">
      <alignment horizontal="right"/>
    </xf>
    <xf numFmtId="9" fontId="20" fillId="0" borderId="17" xfId="3" applyFont="1" applyFill="1" applyBorder="1" applyAlignment="1">
      <alignment horizontal="right"/>
    </xf>
    <xf numFmtId="9" fontId="20" fillId="0" borderId="32" xfId="3" applyFont="1" applyFill="1" applyBorder="1" applyAlignment="1">
      <alignment horizontal="right"/>
    </xf>
    <xf numFmtId="9" fontId="20" fillId="0" borderId="18" xfId="3" applyFont="1" applyFill="1" applyBorder="1" applyAlignment="1">
      <alignment horizontal="right"/>
    </xf>
    <xf numFmtId="9" fontId="21" fillId="0" borderId="23" xfId="3" applyFont="1" applyFill="1" applyBorder="1" applyAlignment="1">
      <alignment horizontal="right"/>
    </xf>
    <xf numFmtId="9" fontId="21" fillId="0" borderId="34" xfId="3" applyFont="1" applyFill="1" applyBorder="1" applyAlignment="1">
      <alignment horizontal="right"/>
    </xf>
    <xf numFmtId="9" fontId="21" fillId="0" borderId="24" xfId="3" applyFont="1" applyFill="1" applyBorder="1" applyAlignment="1">
      <alignment horizontal="right"/>
    </xf>
    <xf numFmtId="165" fontId="0" fillId="0" borderId="0" xfId="2" applyFont="1" applyAlignment="1">
      <alignment horizontal="right"/>
    </xf>
    <xf numFmtId="43" fontId="1" fillId="0" borderId="0" xfId="2" applyNumberFormat="1" applyFont="1" applyAlignment="1">
      <alignment horizontal="right" wrapText="1"/>
    </xf>
    <xf numFmtId="43" fontId="1" fillId="0" borderId="31" xfId="2" applyNumberFormat="1" applyFont="1" applyBorder="1" applyAlignment="1">
      <alignment horizontal="right" wrapText="1"/>
    </xf>
    <xf numFmtId="9" fontId="21" fillId="0" borderId="33" xfId="3" applyFont="1" applyFill="1" applyBorder="1"/>
    <xf numFmtId="9" fontId="21" fillId="0" borderId="33" xfId="0" applyNumberFormat="1" applyFont="1" applyBorder="1"/>
    <xf numFmtId="0" fontId="21" fillId="0" borderId="33" xfId="0" applyFont="1" applyBorder="1"/>
    <xf numFmtId="9" fontId="21" fillId="0" borderId="33" xfId="4" applyFont="1" applyFill="1" applyBorder="1"/>
    <xf numFmtId="0" fontId="20" fillId="0" borderId="33" xfId="0" applyFont="1" applyBorder="1"/>
    <xf numFmtId="49" fontId="22" fillId="0" borderId="41" xfId="1" applyNumberFormat="1" applyFont="1" applyFill="1" applyBorder="1"/>
    <xf numFmtId="3" fontId="1" fillId="0" borderId="8" xfId="2" applyNumberFormat="1" applyFont="1" applyBorder="1" applyAlignment="1">
      <alignment horizontal="right"/>
    </xf>
    <xf numFmtId="3" fontId="1" fillId="0" borderId="13" xfId="2" applyNumberFormat="1" applyFont="1" applyBorder="1" applyAlignment="1">
      <alignment horizontal="right"/>
    </xf>
    <xf numFmtId="3" fontId="1" fillId="0" borderId="11" xfId="2" applyNumberFormat="1" applyFont="1" applyBorder="1" applyAlignment="1">
      <alignment horizontal="right"/>
    </xf>
    <xf numFmtId="3" fontId="0" fillId="0" borderId="8" xfId="2" applyNumberFormat="1" applyFont="1" applyBorder="1" applyAlignment="1">
      <alignment horizontal="center"/>
    </xf>
    <xf numFmtId="170" fontId="1" fillId="0" borderId="13" xfId="2" applyNumberFormat="1" applyFont="1" applyBorder="1" applyAlignment="1">
      <alignment horizontal="right"/>
    </xf>
    <xf numFmtId="10" fontId="1" fillId="0" borderId="13" xfId="0" applyNumberFormat="1" applyFont="1" applyBorder="1" applyAlignment="1">
      <alignment horizontal="right"/>
    </xf>
    <xf numFmtId="10" fontId="1" fillId="0" borderId="8" xfId="0" applyNumberFormat="1" applyFont="1" applyBorder="1" applyAlignment="1">
      <alignment horizontal="right"/>
    </xf>
    <xf numFmtId="49" fontId="30" fillId="0" borderId="8" xfId="0" applyNumberFormat="1" applyFont="1" applyBorder="1"/>
    <xf numFmtId="10" fontId="1" fillId="0" borderId="11" xfId="0" applyNumberFormat="1" applyFont="1" applyBorder="1" applyAlignment="1">
      <alignment horizontal="right"/>
    </xf>
    <xf numFmtId="0" fontId="30" fillId="0" borderId="11" xfId="0" applyFont="1" applyBorder="1"/>
    <xf numFmtId="170" fontId="1" fillId="0" borderId="11" xfId="2" applyNumberFormat="1" applyFont="1" applyBorder="1" applyAlignment="1">
      <alignment horizontal="right"/>
    </xf>
    <xf numFmtId="0" fontId="30" fillId="0" borderId="8" xfId="0" applyFont="1" applyBorder="1"/>
    <xf numFmtId="0" fontId="29" fillId="0" borderId="8" xfId="0" applyFont="1" applyBorder="1"/>
    <xf numFmtId="49" fontId="1" fillId="0" borderId="8" xfId="0" applyNumberFormat="1" applyFont="1" applyBorder="1" applyAlignment="1">
      <alignment horizontal="center"/>
    </xf>
    <xf numFmtId="10" fontId="1" fillId="0" borderId="12" xfId="0" applyNumberFormat="1" applyFont="1" applyBorder="1" applyAlignment="1">
      <alignment horizontal="right"/>
    </xf>
    <xf numFmtId="0" fontId="0" fillId="0" borderId="43" xfId="0" applyBorder="1" applyAlignment="1">
      <alignment horizontal="center"/>
    </xf>
    <xf numFmtId="49" fontId="30" fillId="0" borderId="13" xfId="0" applyNumberFormat="1" applyFont="1" applyBorder="1"/>
    <xf numFmtId="49" fontId="1" fillId="0" borderId="13" xfId="0" applyNumberFormat="1" applyFont="1" applyBorder="1" applyAlignment="1">
      <alignment horizontal="centerContinuous"/>
    </xf>
    <xf numFmtId="49" fontId="1" fillId="0" borderId="12" xfId="0" applyNumberFormat="1" applyFont="1" applyBorder="1" applyAlignment="1">
      <alignment horizontal="centerContinuous"/>
    </xf>
    <xf numFmtId="0" fontId="29" fillId="0" borderId="13" xfId="0" applyFont="1" applyBorder="1"/>
    <xf numFmtId="0" fontId="30" fillId="0" borderId="13" xfId="0" applyFont="1" applyBorder="1"/>
    <xf numFmtId="9" fontId="1" fillId="0" borderId="13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9" fontId="1" fillId="0" borderId="11" xfId="0" applyNumberFormat="1" applyFont="1" applyBorder="1" applyAlignment="1">
      <alignment horizontal="right" vertical="center"/>
    </xf>
    <xf numFmtId="0" fontId="5" fillId="0" borderId="14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0" borderId="8" xfId="0" applyBorder="1"/>
    <xf numFmtId="2" fontId="27" fillId="0" borderId="32" xfId="0" applyNumberFormat="1" applyFont="1" applyBorder="1"/>
    <xf numFmtId="0" fontId="28" fillId="0" borderId="0" xfId="0" applyFont="1" applyAlignment="1">
      <alignment horizontal="left"/>
    </xf>
    <xf numFmtId="0" fontId="0" fillId="0" borderId="2" xfId="0" applyBorder="1"/>
    <xf numFmtId="0" fontId="2" fillId="0" borderId="8" xfId="0" applyFont="1" applyBorder="1"/>
    <xf numFmtId="0" fontId="1" fillId="0" borderId="8" xfId="0" applyFont="1" applyBorder="1"/>
    <xf numFmtId="49" fontId="1" fillId="0" borderId="8" xfId="0" applyNumberFormat="1" applyFont="1" applyBorder="1"/>
    <xf numFmtId="0" fontId="6" fillId="0" borderId="8" xfId="0" applyFont="1" applyBorder="1" applyAlignment="1">
      <alignment horizontal="center"/>
    </xf>
    <xf numFmtId="0" fontId="4" fillId="0" borderId="8" xfId="0" applyFont="1" applyBorder="1"/>
    <xf numFmtId="0" fontId="4" fillId="0" borderId="8" xfId="0" applyFont="1" applyBorder="1" applyAlignment="1">
      <alignment horizontal="left" wrapText="1"/>
    </xf>
    <xf numFmtId="3" fontId="0" fillId="3" borderId="8" xfId="0" applyNumberFormat="1" applyFill="1" applyBorder="1" applyAlignment="1" applyProtection="1">
      <alignment horizontal="right"/>
      <protection locked="0"/>
    </xf>
    <xf numFmtId="0" fontId="6" fillId="0" borderId="8" xfId="0" applyFont="1" applyBorder="1" applyAlignment="1">
      <alignment horizontal="centerContinuous" vertical="center"/>
    </xf>
    <xf numFmtId="49" fontId="6" fillId="0" borderId="8" xfId="0" applyNumberFormat="1" applyFont="1" applyBorder="1" applyAlignment="1">
      <alignment horizontal="center" vertical="center"/>
    </xf>
    <xf numFmtId="0" fontId="12" fillId="0" borderId="8" xfId="0" applyFont="1" applyBorder="1"/>
    <xf numFmtId="0" fontId="1" fillId="0" borderId="8" xfId="0" applyFont="1" applyBorder="1" applyAlignment="1">
      <alignment horizontal="centerContinuous"/>
    </xf>
    <xf numFmtId="49" fontId="1" fillId="0" borderId="13" xfId="0" applyNumberFormat="1" applyFont="1" applyBorder="1" applyAlignment="1">
      <alignment horizontal="center"/>
    </xf>
    <xf numFmtId="0" fontId="30" fillId="0" borderId="42" xfId="0" applyFont="1" applyBorder="1"/>
    <xf numFmtId="10" fontId="1" fillId="0" borderId="0" xfId="0" applyNumberFormat="1" applyFont="1" applyAlignment="1">
      <alignment horizontal="right"/>
    </xf>
    <xf numFmtId="0" fontId="30" fillId="0" borderId="0" xfId="0" applyFont="1"/>
    <xf numFmtId="170" fontId="1" fillId="0" borderId="0" xfId="2" applyNumberFormat="1" applyFont="1" applyBorder="1" applyAlignment="1">
      <alignment horizontal="right"/>
    </xf>
    <xf numFmtId="9" fontId="1" fillId="0" borderId="8" xfId="3" applyFont="1" applyBorder="1" applyAlignment="1">
      <alignment horizontal="right"/>
    </xf>
    <xf numFmtId="9" fontId="0" fillId="0" borderId="8" xfId="3" applyFont="1" applyBorder="1" applyAlignment="1">
      <alignment horizontal="right"/>
    </xf>
    <xf numFmtId="9" fontId="1" fillId="0" borderId="12" xfId="3" applyFont="1" applyBorder="1" applyAlignment="1">
      <alignment horizontal="right"/>
    </xf>
    <xf numFmtId="9" fontId="0" fillId="0" borderId="12" xfId="3" applyFont="1" applyBorder="1" applyAlignment="1">
      <alignment horizontal="right"/>
    </xf>
    <xf numFmtId="49" fontId="30" fillId="0" borderId="8" xfId="0" applyNumberFormat="1" applyFont="1" applyBorder="1" applyAlignment="1">
      <alignment vertical="top"/>
    </xf>
    <xf numFmtId="9" fontId="0" fillId="0" borderId="0" xfId="3" applyFont="1"/>
    <xf numFmtId="9" fontId="0" fillId="0" borderId="8" xfId="3" applyFont="1" applyBorder="1" applyAlignment="1">
      <alignment horizontal="center"/>
    </xf>
    <xf numFmtId="49" fontId="1" fillId="0" borderId="44" xfId="0" applyNumberFormat="1" applyFont="1" applyBorder="1" applyAlignment="1">
      <alignment vertical="top"/>
    </xf>
    <xf numFmtId="3" fontId="1" fillId="0" borderId="8" xfId="2" applyNumberFormat="1" applyFont="1" applyBorder="1" applyAlignment="1">
      <alignment horizontal="center"/>
    </xf>
    <xf numFmtId="9" fontId="1" fillId="0" borderId="8" xfId="3" applyFont="1" applyBorder="1" applyAlignment="1">
      <alignment horizontal="center"/>
    </xf>
    <xf numFmtId="165" fontId="31" fillId="0" borderId="0" xfId="0" applyNumberFormat="1" applyFont="1"/>
    <xf numFmtId="0" fontId="31" fillId="0" borderId="0" xfId="0" applyFont="1"/>
    <xf numFmtId="10" fontId="0" fillId="0" borderId="0" xfId="0" applyNumberFormat="1"/>
    <xf numFmtId="164" fontId="0" fillId="0" borderId="0" xfId="0" applyNumberFormat="1"/>
    <xf numFmtId="0" fontId="32" fillId="0" borderId="17" xfId="0" applyFont="1" applyBorder="1"/>
    <xf numFmtId="14" fontId="6" fillId="0" borderId="8" xfId="0" applyNumberFormat="1" applyFont="1" applyBorder="1" applyAlignment="1">
      <alignment horizontal="center" vertical="center"/>
    </xf>
    <xf numFmtId="10" fontId="24" fillId="0" borderId="26" xfId="3" applyNumberFormat="1" applyFont="1" applyFill="1" applyBorder="1" applyProtection="1"/>
    <xf numFmtId="14" fontId="33" fillId="7" borderId="8" xfId="0" applyNumberFormat="1" applyFont="1" applyFill="1" applyBorder="1" applyAlignment="1" applyProtection="1">
      <alignment horizontal="center"/>
      <protection locked="0"/>
    </xf>
    <xf numFmtId="14" fontId="33" fillId="7" borderId="8" xfId="0" applyNumberFormat="1" applyFont="1" applyFill="1" applyBorder="1"/>
    <xf numFmtId="0" fontId="6" fillId="0" borderId="8" xfId="0" applyFont="1" applyBorder="1"/>
    <xf numFmtId="3" fontId="1" fillId="0" borderId="8" xfId="2" applyNumberFormat="1" applyFont="1" applyBorder="1" applyAlignment="1" applyProtection="1">
      <alignment horizontal="right"/>
    </xf>
    <xf numFmtId="3" fontId="1" fillId="0" borderId="8" xfId="0" applyNumberFormat="1" applyFont="1" applyBorder="1" applyAlignment="1">
      <alignment horizontal="right"/>
    </xf>
    <xf numFmtId="3" fontId="1" fillId="0" borderId="8" xfId="2" applyNumberFormat="1" applyFont="1" applyFill="1" applyBorder="1" applyAlignment="1" applyProtection="1">
      <alignment horizontal="right"/>
    </xf>
    <xf numFmtId="0" fontId="4" fillId="0" borderId="8" xfId="0" applyFont="1" applyBorder="1" applyAlignment="1">
      <alignment wrapText="1"/>
    </xf>
    <xf numFmtId="3" fontId="1" fillId="2" borderId="8" xfId="0" applyNumberFormat="1" applyFont="1" applyFill="1" applyBorder="1" applyAlignment="1">
      <alignment horizontal="right"/>
    </xf>
    <xf numFmtId="0" fontId="34" fillId="0" borderId="8" xfId="0" applyFont="1" applyBorder="1"/>
    <xf numFmtId="165" fontId="0" fillId="0" borderId="8" xfId="2" applyFont="1" applyBorder="1"/>
    <xf numFmtId="165" fontId="0" fillId="0" borderId="8" xfId="2" applyFont="1" applyBorder="1" applyAlignment="1">
      <alignment horizontal="right"/>
    </xf>
    <xf numFmtId="165" fontId="1" fillId="0" borderId="8" xfId="2" applyFont="1" applyBorder="1"/>
    <xf numFmtId="165" fontId="1" fillId="0" borderId="8" xfId="2" applyFont="1" applyBorder="1" applyAlignment="1">
      <alignment horizontal="right"/>
    </xf>
    <xf numFmtId="165" fontId="0" fillId="0" borderId="0" xfId="0" applyNumberFormat="1"/>
    <xf numFmtId="165" fontId="0" fillId="0" borderId="8" xfId="2" applyFont="1" applyFill="1" applyBorder="1"/>
    <xf numFmtId="0" fontId="30" fillId="8" borderId="8" xfId="0" applyFont="1" applyFill="1" applyBorder="1"/>
    <xf numFmtId="0" fontId="3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1" fillId="0" borderId="10" xfId="0" applyFont="1" applyBorder="1" applyAlignment="1">
      <alignment horizontal="left" vertical="top"/>
    </xf>
    <xf numFmtId="49" fontId="1" fillId="0" borderId="13" xfId="0" applyNumberFormat="1" applyFont="1" applyBorder="1" applyAlignment="1">
      <alignment horizontal="center" vertical="top"/>
    </xf>
    <xf numFmtId="49" fontId="1" fillId="0" borderId="12" xfId="0" applyNumberFormat="1" applyFont="1" applyBorder="1" applyAlignment="1">
      <alignment horizontal="center" vertical="top"/>
    </xf>
    <xf numFmtId="49" fontId="1" fillId="0" borderId="13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9" fontId="0" fillId="0" borderId="13" xfId="3" applyFont="1" applyBorder="1" applyAlignment="1">
      <alignment horizontal="center" wrapText="1"/>
    </xf>
    <xf numFmtId="9" fontId="0" fillId="0" borderId="12" xfId="3" applyFont="1" applyBorder="1" applyAlignment="1">
      <alignment horizontal="center" wrapText="1"/>
    </xf>
    <xf numFmtId="4" fontId="0" fillId="0" borderId="13" xfId="2" applyNumberFormat="1" applyFont="1" applyBorder="1" applyAlignment="1">
      <alignment horizontal="center" wrapText="1"/>
    </xf>
    <xf numFmtId="4" fontId="0" fillId="0" borderId="12" xfId="2" applyNumberFormat="1" applyFont="1" applyBorder="1" applyAlignment="1">
      <alignment horizontal="center" wrapText="1"/>
    </xf>
    <xf numFmtId="9" fontId="0" fillId="0" borderId="13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49" fontId="1" fillId="0" borderId="13" xfId="0" applyNumberFormat="1" applyFont="1" applyBorder="1" applyAlignment="1">
      <alignment horizontal="right"/>
    </xf>
    <xf numFmtId="49" fontId="1" fillId="0" borderId="12" xfId="0" applyNumberFormat="1" applyFont="1" applyBorder="1" applyAlignment="1">
      <alignment horizontal="right"/>
    </xf>
    <xf numFmtId="170" fontId="1" fillId="0" borderId="13" xfId="2" applyNumberFormat="1" applyFont="1" applyBorder="1" applyAlignment="1">
      <alignment horizontal="right"/>
    </xf>
    <xf numFmtId="170" fontId="1" fillId="0" borderId="12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3" fontId="0" fillId="0" borderId="8" xfId="2" applyNumberFormat="1" applyFont="1" applyBorder="1" applyAlignment="1">
      <alignment horizontal="right"/>
    </xf>
    <xf numFmtId="4" fontId="0" fillId="0" borderId="13" xfId="0" applyNumberFormat="1" applyBorder="1" applyAlignment="1">
      <alignment horizontal="right"/>
    </xf>
    <xf numFmtId="4" fontId="0" fillId="0" borderId="12" xfId="0" applyNumberFormat="1" applyBorder="1" applyAlignment="1">
      <alignment horizontal="right"/>
    </xf>
    <xf numFmtId="4" fontId="1" fillId="8" borderId="13" xfId="0" applyNumberFormat="1" applyFont="1" applyFill="1" applyBorder="1" applyAlignment="1">
      <alignment horizontal="right"/>
    </xf>
    <xf numFmtId="4" fontId="1" fillId="8" borderId="12" xfId="0" applyNumberFormat="1" applyFont="1" applyFill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30" fillId="0" borderId="0" xfId="0" applyFont="1" applyAlignment="1">
      <alignment horizontal="left" vertical="top" wrapText="1"/>
    </xf>
    <xf numFmtId="3" fontId="1" fillId="0" borderId="42" xfId="2" applyNumberFormat="1" applyFont="1" applyBorder="1" applyAlignment="1">
      <alignment horizontal="right"/>
    </xf>
    <xf numFmtId="0" fontId="26" fillId="0" borderId="30" xfId="0" applyFont="1" applyBorder="1" applyAlignment="1">
      <alignment horizontal="center"/>
    </xf>
    <xf numFmtId="0" fontId="28" fillId="0" borderId="13" xfId="0" applyFont="1" applyBorder="1" applyAlignment="1">
      <alignment horizontal="left"/>
    </xf>
    <xf numFmtId="0" fontId="28" fillId="0" borderId="12" xfId="0" applyFont="1" applyBorder="1" applyAlignment="1">
      <alignment horizontal="left"/>
    </xf>
    <xf numFmtId="0" fontId="27" fillId="0" borderId="24" xfId="0" applyFont="1" applyBorder="1" applyAlignment="1">
      <alignment horizontal="center" vertical="center" wrapText="1"/>
    </xf>
    <xf numFmtId="0" fontId="27" fillId="0" borderId="27" xfId="0" applyFont="1" applyBorder="1" applyAlignment="1">
      <alignment horizontal="center"/>
    </xf>
    <xf numFmtId="0" fontId="27" fillId="0" borderId="31" xfId="0" applyFont="1" applyBorder="1" applyAlignment="1">
      <alignment horizontal="center"/>
    </xf>
    <xf numFmtId="0" fontId="27" fillId="0" borderId="24" xfId="0" applyFont="1" applyBorder="1" applyAlignment="1">
      <alignment horizontal="center" vertical="center"/>
    </xf>
    <xf numFmtId="0" fontId="20" fillId="0" borderId="0" xfId="0" applyFont="1" applyAlignment="1">
      <alignment horizontal="left" vertical="top" wrapText="1"/>
    </xf>
    <xf numFmtId="3" fontId="0" fillId="0" borderId="13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5" fontId="0" fillId="0" borderId="8" xfId="2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</cellXfs>
  <cellStyles count="5">
    <cellStyle name="Entrada" xfId="1" builtinId="20"/>
    <cellStyle name="Millares" xfId="2" builtinId="3"/>
    <cellStyle name="Normal" xfId="0" builtinId="0"/>
    <cellStyle name="Porcentaje" xfId="3" builtinId="5"/>
    <cellStyle name="Porcentual 2" xfId="4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L66"/>
  <sheetViews>
    <sheetView showGridLines="0" topLeftCell="A3" zoomScale="70" zoomScaleNormal="70" workbookViewId="0">
      <selection activeCell="AM44" sqref="AM44"/>
    </sheetView>
  </sheetViews>
  <sheetFormatPr baseColWidth="10" defaultColWidth="11.5" defaultRowHeight="13" x14ac:dyDescent="0.15"/>
  <cols>
    <col min="1" max="1" width="43" bestFit="1" customWidth="1"/>
    <col min="2" max="2" width="17.33203125" bestFit="1" customWidth="1"/>
    <col min="3" max="3" width="5.5" customWidth="1"/>
    <col min="4" max="4" width="17.33203125" bestFit="1" customWidth="1"/>
    <col min="5" max="5" width="5.5" customWidth="1"/>
    <col min="6" max="6" width="17.33203125" bestFit="1" customWidth="1"/>
    <col min="7" max="7" width="6.5" customWidth="1"/>
    <col min="8" max="34" width="0" hidden="1" customWidth="1"/>
  </cols>
  <sheetData>
    <row r="1" spans="1:8" ht="12.75" customHeight="1" x14ac:dyDescent="0.15">
      <c r="A1" s="142" t="s">
        <v>247</v>
      </c>
      <c r="F1" s="142"/>
      <c r="G1" s="142"/>
    </row>
    <row r="2" spans="1:8" ht="14" thickBot="1" x14ac:dyDescent="0.2">
      <c r="E2" s="143"/>
      <c r="F2" s="142"/>
      <c r="G2" s="142"/>
    </row>
    <row r="3" spans="1:8" ht="21" thickBot="1" x14ac:dyDescent="0.25">
      <c r="A3" s="305" t="s">
        <v>2</v>
      </c>
      <c r="B3" s="306"/>
      <c r="C3" s="306"/>
      <c r="D3" s="306"/>
      <c r="E3" s="306"/>
      <c r="F3" s="306"/>
      <c r="G3" s="307"/>
    </row>
    <row r="4" spans="1:8" ht="21" thickBot="1" x14ac:dyDescent="0.25">
      <c r="A4" s="24"/>
      <c r="B4" s="1"/>
      <c r="C4" s="1"/>
      <c r="D4" s="1"/>
      <c r="E4" s="1"/>
      <c r="F4" s="1"/>
      <c r="G4" s="1"/>
    </row>
    <row r="5" spans="1:8" ht="17" thickBot="1" x14ac:dyDescent="0.25">
      <c r="A5" s="302" t="s">
        <v>3</v>
      </c>
      <c r="B5" s="303"/>
      <c r="C5" s="303"/>
      <c r="D5" s="303"/>
      <c r="E5" s="303"/>
      <c r="F5" s="303"/>
      <c r="G5" s="304"/>
    </row>
    <row r="6" spans="1:8" x14ac:dyDescent="0.15">
      <c r="A6" s="308" t="s">
        <v>302</v>
      </c>
      <c r="B6" s="308"/>
      <c r="C6" s="308"/>
      <c r="D6" s="308"/>
      <c r="E6" s="308"/>
      <c r="F6" s="308"/>
      <c r="G6" s="308"/>
    </row>
    <row r="7" spans="1:8" ht="18" hidden="1" customHeight="1" x14ac:dyDescent="0.15">
      <c r="A7" s="22"/>
      <c r="E7" s="25"/>
      <c r="F7" s="26"/>
      <c r="G7" s="26"/>
      <c r="H7" s="1"/>
    </row>
    <row r="8" spans="1:8" x14ac:dyDescent="0.15">
      <c r="A8" s="263" t="s">
        <v>4</v>
      </c>
      <c r="B8" s="256" t="s">
        <v>1</v>
      </c>
      <c r="C8" s="256" t="s">
        <v>0</v>
      </c>
      <c r="D8" s="256" t="s">
        <v>1</v>
      </c>
      <c r="E8" s="256" t="s">
        <v>0</v>
      </c>
      <c r="F8" s="256" t="s">
        <v>1</v>
      </c>
      <c r="G8" s="256" t="s">
        <v>0</v>
      </c>
      <c r="H8" s="1"/>
    </row>
    <row r="9" spans="1:8" ht="15" customHeight="1" x14ac:dyDescent="0.15">
      <c r="A9" s="249"/>
      <c r="B9" s="286">
        <v>45657</v>
      </c>
      <c r="C9" s="287"/>
      <c r="D9" s="286">
        <v>45291</v>
      </c>
      <c r="E9" s="287"/>
      <c r="F9" s="286">
        <v>44926</v>
      </c>
      <c r="G9" s="249"/>
      <c r="H9" s="1"/>
    </row>
    <row r="10" spans="1:8" x14ac:dyDescent="0.15">
      <c r="A10" s="294" t="s">
        <v>107</v>
      </c>
      <c r="B10" s="148">
        <v>15121187075</v>
      </c>
      <c r="C10" s="150">
        <f t="shared" ref="C10:C41" si="0">IF(B10=0," ",(B10/B$30)*100)</f>
        <v>21.817591566259299</v>
      </c>
      <c r="D10" s="148">
        <v>12350077221</v>
      </c>
      <c r="E10" s="150">
        <f t="shared" ref="E10:E49" si="1">IF(D10=0," ",(D10/D$30)*100)</f>
        <v>22.064669944068882</v>
      </c>
      <c r="F10" s="148">
        <v>14608256735</v>
      </c>
      <c r="G10" s="150">
        <f t="shared" ref="G10:G39" si="2">IF(F10=0," ",(F10/F$30)*100)</f>
        <v>28.492453576776256</v>
      </c>
    </row>
    <row r="11" spans="1:8" x14ac:dyDescent="0.15">
      <c r="A11" s="294" t="s">
        <v>17</v>
      </c>
      <c r="B11" s="148">
        <v>13694398052</v>
      </c>
      <c r="C11" s="150">
        <f t="shared" si="0"/>
        <v>19.758950270398199</v>
      </c>
      <c r="D11" s="148">
        <v>11492210312</v>
      </c>
      <c r="E11" s="150">
        <f t="shared" si="1"/>
        <v>20.532003397592753</v>
      </c>
      <c r="F11" s="148">
        <v>8777835122</v>
      </c>
      <c r="G11" s="150">
        <f t="shared" si="2"/>
        <v>17.1205958558327</v>
      </c>
    </row>
    <row r="12" spans="1:8" x14ac:dyDescent="0.15">
      <c r="A12" s="294" t="s">
        <v>108</v>
      </c>
      <c r="B12" s="148">
        <v>38968370735</v>
      </c>
      <c r="C12" s="150">
        <f t="shared" si="0"/>
        <v>56.225479685020154</v>
      </c>
      <c r="D12" s="148">
        <v>30829664914</v>
      </c>
      <c r="E12" s="150">
        <f t="shared" si="1"/>
        <v>55.080334206895785</v>
      </c>
      <c r="F12" s="148">
        <v>26753444573</v>
      </c>
      <c r="G12" s="150">
        <f t="shared" si="2"/>
        <v>52.180851647324168</v>
      </c>
    </row>
    <row r="13" spans="1:8" x14ac:dyDescent="0.15">
      <c r="A13" s="294" t="s">
        <v>296</v>
      </c>
      <c r="B13" s="148">
        <v>0</v>
      </c>
      <c r="C13" s="150" t="str">
        <f t="shared" si="0"/>
        <v xml:space="preserve"> </v>
      </c>
      <c r="D13" s="148">
        <v>0</v>
      </c>
      <c r="E13" s="150" t="str">
        <f t="shared" si="1"/>
        <v xml:space="preserve"> </v>
      </c>
      <c r="F13" s="148">
        <v>32556160</v>
      </c>
      <c r="G13" s="150">
        <f t="shared" si="2"/>
        <v>6.3498670256502729E-2</v>
      </c>
    </row>
    <row r="14" spans="1:8" ht="17.75" customHeight="1" x14ac:dyDescent="0.15">
      <c r="A14" s="294" t="s">
        <v>130</v>
      </c>
      <c r="B14" s="148">
        <v>472224220</v>
      </c>
      <c r="C14" s="150">
        <f t="shared" si="0"/>
        <v>0.68134830344696173</v>
      </c>
      <c r="D14" s="148">
        <v>233832409</v>
      </c>
      <c r="E14" s="150">
        <f t="shared" si="1"/>
        <v>0.41776539810119151</v>
      </c>
      <c r="F14" s="148">
        <v>128742576</v>
      </c>
      <c r="G14" s="150">
        <f t="shared" si="2"/>
        <v>0.25110401169538243</v>
      </c>
    </row>
    <row r="15" spans="1:8" x14ac:dyDescent="0.15">
      <c r="A15" s="294" t="s">
        <v>297</v>
      </c>
      <c r="B15" s="148">
        <v>19821699</v>
      </c>
      <c r="C15" s="150">
        <f t="shared" si="0"/>
        <v>2.85997210924216E-2</v>
      </c>
      <c r="D15" s="148">
        <v>76584927</v>
      </c>
      <c r="E15" s="150">
        <f t="shared" si="1"/>
        <v>0.13682676688630313</v>
      </c>
      <c r="F15" s="148">
        <v>113174393</v>
      </c>
      <c r="G15" s="150">
        <f t="shared" si="2"/>
        <v>0.22073928444223306</v>
      </c>
    </row>
    <row r="16" spans="1:8" ht="12" customHeight="1" x14ac:dyDescent="0.15">
      <c r="A16" s="257" t="s">
        <v>128</v>
      </c>
      <c r="B16" s="148">
        <v>0</v>
      </c>
      <c r="C16" s="149" t="str">
        <f t="shared" si="0"/>
        <v xml:space="preserve"> </v>
      </c>
      <c r="D16" s="148">
        <v>0</v>
      </c>
      <c r="E16" s="149" t="str">
        <f t="shared" si="1"/>
        <v xml:space="preserve"> </v>
      </c>
      <c r="F16" s="148">
        <v>0</v>
      </c>
      <c r="G16" s="150" t="str">
        <f t="shared" si="2"/>
        <v xml:space="preserve"> </v>
      </c>
    </row>
    <row r="17" spans="1:35" x14ac:dyDescent="0.15">
      <c r="A17" s="288" t="s">
        <v>18</v>
      </c>
      <c r="B17" s="289">
        <f>SUM(B10:B16)</f>
        <v>68276001781</v>
      </c>
      <c r="C17" s="290">
        <f t="shared" si="0"/>
        <v>98.511969546217031</v>
      </c>
      <c r="D17" s="289">
        <f>SUM(D10:D16)</f>
        <v>54982369783</v>
      </c>
      <c r="E17" s="290">
        <f t="shared" si="1"/>
        <v>98.231599713544909</v>
      </c>
      <c r="F17" s="289">
        <f>SUM(F10:F16)</f>
        <v>50414009559</v>
      </c>
      <c r="G17" s="150">
        <f t="shared" si="2"/>
        <v>98.329243046327235</v>
      </c>
    </row>
    <row r="18" spans="1:35" ht="11.25" customHeight="1" x14ac:dyDescent="0.15">
      <c r="A18" s="257" t="s">
        <v>5</v>
      </c>
      <c r="B18" s="148">
        <v>0</v>
      </c>
      <c r="C18" s="150" t="str">
        <f t="shared" si="0"/>
        <v xml:space="preserve"> </v>
      </c>
      <c r="D18" s="148">
        <v>0</v>
      </c>
      <c r="E18" s="150" t="str">
        <f t="shared" si="1"/>
        <v xml:space="preserve"> </v>
      </c>
      <c r="F18" s="148">
        <v>0</v>
      </c>
      <c r="G18" s="150" t="str">
        <f t="shared" si="2"/>
        <v xml:space="preserve"> </v>
      </c>
      <c r="AI18" s="8"/>
    </row>
    <row r="19" spans="1:35" ht="11.25" customHeight="1" x14ac:dyDescent="0.15">
      <c r="A19" s="257" t="s">
        <v>7</v>
      </c>
      <c r="B19" s="148">
        <v>0</v>
      </c>
      <c r="C19" s="150" t="str">
        <f t="shared" si="0"/>
        <v xml:space="preserve"> </v>
      </c>
      <c r="D19" s="148">
        <v>0</v>
      </c>
      <c r="E19" s="150" t="str">
        <f t="shared" si="1"/>
        <v xml:space="preserve"> </v>
      </c>
      <c r="F19" s="148">
        <v>0</v>
      </c>
      <c r="G19" s="150" t="str">
        <f t="shared" si="2"/>
        <v xml:space="preserve"> </v>
      </c>
    </row>
    <row r="20" spans="1:35" ht="11.25" customHeight="1" x14ac:dyDescent="0.15">
      <c r="A20" s="257" t="s">
        <v>8</v>
      </c>
      <c r="B20" s="148">
        <v>397705745</v>
      </c>
      <c r="C20" s="150">
        <f t="shared" si="0"/>
        <v>0.57382938686808571</v>
      </c>
      <c r="D20" s="148">
        <v>342410735</v>
      </c>
      <c r="E20" s="150">
        <f t="shared" si="1"/>
        <v>0.61175162858368615</v>
      </c>
      <c r="F20" s="148">
        <v>272815658</v>
      </c>
      <c r="G20" s="150">
        <f t="shared" si="2"/>
        <v>0.53210917713123473</v>
      </c>
      <c r="AI20" s="8"/>
    </row>
    <row r="21" spans="1:35" ht="11.25" customHeight="1" x14ac:dyDescent="0.15">
      <c r="A21" s="257" t="s">
        <v>9</v>
      </c>
      <c r="B21" s="148">
        <v>0</v>
      </c>
      <c r="C21" s="150" t="str">
        <f t="shared" si="0"/>
        <v xml:space="preserve"> </v>
      </c>
      <c r="D21" s="148">
        <v>0</v>
      </c>
      <c r="E21" s="150" t="str">
        <f t="shared" si="1"/>
        <v xml:space="preserve"> </v>
      </c>
      <c r="F21" s="148">
        <v>0</v>
      </c>
      <c r="G21" s="150" t="str">
        <f t="shared" si="2"/>
        <v xml:space="preserve"> </v>
      </c>
    </row>
    <row r="22" spans="1:35" ht="11.25" customHeight="1" x14ac:dyDescent="0.15">
      <c r="A22" s="257" t="s">
        <v>10</v>
      </c>
      <c r="B22" s="152">
        <v>0</v>
      </c>
      <c r="C22" s="153" t="str">
        <f t="shared" si="0"/>
        <v xml:space="preserve"> </v>
      </c>
      <c r="D22" s="152">
        <v>0</v>
      </c>
      <c r="E22" s="153" t="str">
        <f t="shared" si="1"/>
        <v xml:space="preserve"> </v>
      </c>
      <c r="F22" s="152">
        <v>0</v>
      </c>
      <c r="G22" s="153" t="str">
        <f t="shared" si="2"/>
        <v xml:space="preserve"> </v>
      </c>
      <c r="AI22" s="8"/>
    </row>
    <row r="23" spans="1:35" ht="11.25" customHeight="1" x14ac:dyDescent="0.15">
      <c r="A23" s="288" t="s">
        <v>11</v>
      </c>
      <c r="B23" s="291">
        <f>+B18+B19+B20+B21-B22</f>
        <v>397705745</v>
      </c>
      <c r="C23" s="290">
        <f t="shared" si="0"/>
        <v>0.57382938686808571</v>
      </c>
      <c r="D23" s="291">
        <f>+D18+D19+D20+D21-D22</f>
        <v>342410735</v>
      </c>
      <c r="E23" s="290">
        <f t="shared" si="1"/>
        <v>0.61175162858368615</v>
      </c>
      <c r="F23" s="291">
        <f>+F18+F19+F20+F21-F22</f>
        <v>272815658</v>
      </c>
      <c r="G23" s="290">
        <f t="shared" si="2"/>
        <v>0.53210917713123473</v>
      </c>
    </row>
    <row r="24" spans="1:35" x14ac:dyDescent="0.15">
      <c r="A24" s="257" t="s">
        <v>12</v>
      </c>
      <c r="B24" s="148">
        <v>0</v>
      </c>
      <c r="C24" s="150" t="str">
        <f t="shared" si="0"/>
        <v xml:space="preserve"> </v>
      </c>
      <c r="D24" s="148">
        <v>0</v>
      </c>
      <c r="E24" s="150" t="str">
        <f t="shared" si="1"/>
        <v xml:space="preserve"> </v>
      </c>
      <c r="F24" s="148">
        <v>0</v>
      </c>
      <c r="G24" s="150" t="str">
        <f t="shared" si="2"/>
        <v xml:space="preserve"> </v>
      </c>
    </row>
    <row r="25" spans="1:35" ht="11.25" customHeight="1" x14ac:dyDescent="0.15">
      <c r="A25" s="257" t="s">
        <v>129</v>
      </c>
      <c r="B25" s="148">
        <v>0</v>
      </c>
      <c r="C25" s="150" t="str">
        <f t="shared" si="0"/>
        <v xml:space="preserve"> </v>
      </c>
      <c r="D25" s="148">
        <v>0</v>
      </c>
      <c r="E25" s="150" t="str">
        <f t="shared" si="1"/>
        <v xml:space="preserve"> </v>
      </c>
      <c r="F25" s="148">
        <v>0</v>
      </c>
      <c r="G25" s="150" t="str">
        <f t="shared" si="2"/>
        <v xml:space="preserve"> </v>
      </c>
      <c r="K25" t="s">
        <v>6</v>
      </c>
    </row>
    <row r="26" spans="1:35" ht="11.25" customHeight="1" x14ac:dyDescent="0.15">
      <c r="A26" s="257" t="s">
        <v>13</v>
      </c>
      <c r="B26" s="148">
        <v>0</v>
      </c>
      <c r="C26" s="150" t="str">
        <f t="shared" si="0"/>
        <v xml:space="preserve"> </v>
      </c>
      <c r="D26" s="148">
        <v>0</v>
      </c>
      <c r="E26" s="150" t="str">
        <f t="shared" si="1"/>
        <v xml:space="preserve"> </v>
      </c>
      <c r="F26" s="148">
        <v>0</v>
      </c>
      <c r="G26" s="150" t="str">
        <f t="shared" si="2"/>
        <v xml:space="preserve"> </v>
      </c>
      <c r="I26">
        <f>B30</f>
        <v>69307315746</v>
      </c>
    </row>
    <row r="27" spans="1:35" ht="11.25" customHeight="1" x14ac:dyDescent="0.15">
      <c r="A27" s="257" t="s">
        <v>14</v>
      </c>
      <c r="B27" s="148">
        <v>633608220</v>
      </c>
      <c r="C27" s="150">
        <f t="shared" si="0"/>
        <v>0.91420106691488479</v>
      </c>
      <c r="D27" s="148">
        <v>647401492</v>
      </c>
      <c r="E27" s="150">
        <f t="shared" si="1"/>
        <v>1.1566486578713961</v>
      </c>
      <c r="F27" s="148">
        <v>583791740</v>
      </c>
      <c r="G27" s="150">
        <f t="shared" si="2"/>
        <v>1.1386477765415199</v>
      </c>
    </row>
    <row r="28" spans="1:35" ht="11.25" customHeight="1" x14ac:dyDescent="0.15">
      <c r="A28" s="257" t="s">
        <v>15</v>
      </c>
      <c r="B28" s="148">
        <v>0</v>
      </c>
      <c r="C28" s="150" t="str">
        <f t="shared" si="0"/>
        <v xml:space="preserve"> </v>
      </c>
      <c r="D28" s="148">
        <v>0</v>
      </c>
      <c r="E28" s="150" t="str">
        <f t="shared" si="1"/>
        <v xml:space="preserve"> </v>
      </c>
      <c r="F28" s="148">
        <v>0</v>
      </c>
      <c r="G28" s="150" t="str">
        <f t="shared" si="2"/>
        <v xml:space="preserve"> </v>
      </c>
    </row>
    <row r="29" spans="1:35" ht="11.25" customHeight="1" x14ac:dyDescent="0.15">
      <c r="A29" s="288" t="s">
        <v>16</v>
      </c>
      <c r="B29" s="289">
        <f>SUM(B23:B28)</f>
        <v>1031313965</v>
      </c>
      <c r="C29" s="290">
        <f t="shared" si="0"/>
        <v>1.4880304537829705</v>
      </c>
      <c r="D29" s="289">
        <f>SUM(D23:D28)</f>
        <v>989812227</v>
      </c>
      <c r="E29" s="290">
        <f t="shared" si="1"/>
        <v>1.7684002864550821</v>
      </c>
      <c r="F29" s="289">
        <f>SUM(F23:F28)</f>
        <v>856607398</v>
      </c>
      <c r="G29" s="290">
        <f t="shared" si="2"/>
        <v>1.6707569536727547</v>
      </c>
    </row>
    <row r="30" spans="1:35" ht="11.25" customHeight="1" x14ac:dyDescent="0.15">
      <c r="A30" s="288" t="s">
        <v>106</v>
      </c>
      <c r="B30" s="291">
        <f>B17+B29</f>
        <v>69307315746</v>
      </c>
      <c r="C30" s="290">
        <f t="shared" si="0"/>
        <v>100</v>
      </c>
      <c r="D30" s="291">
        <f>D17+D29</f>
        <v>55972182010</v>
      </c>
      <c r="E30" s="290">
        <f t="shared" si="1"/>
        <v>100</v>
      </c>
      <c r="F30" s="291">
        <f>F17+F29</f>
        <v>51270616957</v>
      </c>
      <c r="G30" s="290">
        <f t="shared" si="2"/>
        <v>100</v>
      </c>
    </row>
    <row r="31" spans="1:35" ht="11.25" customHeight="1" x14ac:dyDescent="0.15">
      <c r="A31" s="257" t="s">
        <v>300</v>
      </c>
      <c r="B31" s="148">
        <v>38558604541</v>
      </c>
      <c r="C31" s="150">
        <f t="shared" si="0"/>
        <v>55.634248889844464</v>
      </c>
      <c r="D31" s="148">
        <v>32056991117</v>
      </c>
      <c r="E31" s="150">
        <f t="shared" si="1"/>
        <v>57.273077385606818</v>
      </c>
      <c r="F31" s="148">
        <v>27982022945</v>
      </c>
      <c r="G31" s="150">
        <f t="shared" si="2"/>
        <v>54.577113765703579</v>
      </c>
    </row>
    <row r="32" spans="1:35" ht="11.25" customHeight="1" x14ac:dyDescent="0.15">
      <c r="A32" s="257" t="s">
        <v>298</v>
      </c>
      <c r="B32" s="148">
        <v>11149572080</v>
      </c>
      <c r="C32" s="150">
        <f t="shared" si="0"/>
        <v>16.08715033902245</v>
      </c>
      <c r="D32" s="148">
        <v>10212015251</v>
      </c>
      <c r="E32" s="150">
        <f t="shared" si="1"/>
        <v>18.244804623081372</v>
      </c>
      <c r="F32" s="148">
        <v>8678464021</v>
      </c>
      <c r="G32" s="150">
        <f t="shared" si="2"/>
        <v>16.926778993665152</v>
      </c>
    </row>
    <row r="33" spans="1:7" ht="11.25" customHeight="1" x14ac:dyDescent="0.15">
      <c r="A33" s="257" t="s">
        <v>299</v>
      </c>
      <c r="B33" s="148">
        <v>11275067827</v>
      </c>
      <c r="C33" s="150">
        <f t="shared" si="0"/>
        <v>16.26822176798952</v>
      </c>
      <c r="D33" s="148">
        <v>6862777984</v>
      </c>
      <c r="E33" s="150">
        <f t="shared" si="1"/>
        <v>12.261051360788283</v>
      </c>
      <c r="F33" s="148">
        <v>9873890872</v>
      </c>
      <c r="G33" s="150">
        <f t="shared" si="2"/>
        <v>19.258381228923195</v>
      </c>
    </row>
    <row r="34" spans="1:7" ht="11.25" customHeight="1" x14ac:dyDescent="0.15">
      <c r="A34" s="257" t="s">
        <v>32</v>
      </c>
      <c r="B34" s="148">
        <v>0</v>
      </c>
      <c r="C34" s="150" t="str">
        <f t="shared" si="0"/>
        <v xml:space="preserve"> </v>
      </c>
      <c r="D34" s="148">
        <v>0</v>
      </c>
      <c r="E34" s="150" t="str">
        <f t="shared" si="1"/>
        <v xml:space="preserve"> </v>
      </c>
      <c r="F34" s="148">
        <v>0</v>
      </c>
      <c r="G34" s="150" t="str">
        <f t="shared" si="2"/>
        <v xml:space="preserve"> </v>
      </c>
    </row>
    <row r="35" spans="1:7" ht="11.25" customHeight="1" x14ac:dyDescent="0.15">
      <c r="A35" s="257" t="s">
        <v>33</v>
      </c>
      <c r="B35" s="148">
        <v>0</v>
      </c>
      <c r="C35" s="150" t="str">
        <f t="shared" si="0"/>
        <v xml:space="preserve"> </v>
      </c>
      <c r="D35" s="148">
        <v>0</v>
      </c>
      <c r="E35" s="150" t="str">
        <f t="shared" si="1"/>
        <v xml:space="preserve"> </v>
      </c>
      <c r="F35" s="148">
        <v>0</v>
      </c>
      <c r="G35" s="150" t="str">
        <f t="shared" si="2"/>
        <v xml:space="preserve"> </v>
      </c>
    </row>
    <row r="36" spans="1:7" ht="13.25" customHeight="1" x14ac:dyDescent="0.15">
      <c r="A36" s="257" t="s">
        <v>34</v>
      </c>
      <c r="B36" s="148">
        <v>0</v>
      </c>
      <c r="C36" s="150" t="str">
        <f t="shared" si="0"/>
        <v xml:space="preserve"> </v>
      </c>
      <c r="D36" s="148">
        <v>0</v>
      </c>
      <c r="E36" s="150" t="str">
        <f t="shared" si="1"/>
        <v xml:space="preserve"> </v>
      </c>
      <c r="F36" s="148">
        <v>0</v>
      </c>
      <c r="G36" s="150" t="str">
        <f t="shared" si="2"/>
        <v xml:space="preserve"> </v>
      </c>
    </row>
    <row r="37" spans="1:7" ht="13.5" customHeight="1" x14ac:dyDescent="0.15">
      <c r="A37" s="257" t="s">
        <v>115</v>
      </c>
      <c r="B37" s="148">
        <v>0</v>
      </c>
      <c r="C37" s="150" t="str">
        <f t="shared" si="0"/>
        <v xml:space="preserve"> </v>
      </c>
      <c r="D37" s="148">
        <v>0</v>
      </c>
      <c r="E37" s="150" t="str">
        <f t="shared" si="1"/>
        <v xml:space="preserve"> </v>
      </c>
      <c r="F37" s="148">
        <v>0</v>
      </c>
      <c r="G37" s="150" t="str">
        <f t="shared" si="2"/>
        <v xml:space="preserve"> </v>
      </c>
    </row>
    <row r="38" spans="1:7" ht="15" customHeight="1" x14ac:dyDescent="0.15">
      <c r="A38" s="258" t="s">
        <v>127</v>
      </c>
      <c r="B38" s="148">
        <v>0</v>
      </c>
      <c r="C38" s="150" t="str">
        <f t="shared" si="0"/>
        <v xml:space="preserve"> </v>
      </c>
      <c r="D38" s="148">
        <v>0</v>
      </c>
      <c r="E38" s="150" t="str">
        <f t="shared" si="1"/>
        <v xml:space="preserve"> </v>
      </c>
      <c r="F38" s="148">
        <v>0</v>
      </c>
      <c r="G38" s="150" t="str">
        <f t="shared" si="2"/>
        <v xml:space="preserve"> </v>
      </c>
    </row>
    <row r="39" spans="1:7" ht="11.25" customHeight="1" x14ac:dyDescent="0.15">
      <c r="A39" s="288" t="s">
        <v>35</v>
      </c>
      <c r="B39" s="289">
        <f>SUM(B31:B38)</f>
        <v>60983244448</v>
      </c>
      <c r="C39" s="290">
        <f t="shared" si="0"/>
        <v>87.989620996856431</v>
      </c>
      <c r="D39" s="289">
        <f>SUM(D31:D38)</f>
        <v>49131784352</v>
      </c>
      <c r="E39" s="290">
        <f t="shared" si="1"/>
        <v>87.778933369476476</v>
      </c>
      <c r="F39" s="289">
        <f>SUM(F31:F38)</f>
        <v>46534377838</v>
      </c>
      <c r="G39" s="290">
        <f t="shared" si="2"/>
        <v>90.762273988291923</v>
      </c>
    </row>
    <row r="40" spans="1:7" ht="11.25" customHeight="1" x14ac:dyDescent="0.15">
      <c r="A40" s="257" t="s">
        <v>30</v>
      </c>
      <c r="B40" s="148">
        <v>758020942</v>
      </c>
      <c r="C40" s="150">
        <f t="shared" si="0"/>
        <v>1.093709854206478</v>
      </c>
      <c r="D40" s="148">
        <v>657467927</v>
      </c>
      <c r="E40" s="150">
        <f t="shared" si="1"/>
        <v>1.1746333685589327</v>
      </c>
      <c r="F40" s="148">
        <v>440657974</v>
      </c>
      <c r="G40" s="150">
        <f t="shared" ref="G40:G58" si="3">IF(F40=0," ",(F40/F$30)*100)</f>
        <v>0.85947468580215081</v>
      </c>
    </row>
    <row r="41" spans="1:7" ht="11.25" customHeight="1" x14ac:dyDescent="0.15">
      <c r="A41" s="257" t="s">
        <v>301</v>
      </c>
      <c r="B41" s="148">
        <v>2867148772</v>
      </c>
      <c r="C41" s="150">
        <f t="shared" si="0"/>
        <v>4.1368631018803734</v>
      </c>
      <c r="D41" s="148">
        <v>2096227964</v>
      </c>
      <c r="E41" s="150">
        <f t="shared" si="1"/>
        <v>3.745124611410517</v>
      </c>
      <c r="F41" s="148">
        <v>1397212790</v>
      </c>
      <c r="G41" s="150">
        <f t="shared" si="3"/>
        <v>2.7251725704253262</v>
      </c>
    </row>
    <row r="42" spans="1:7" ht="11.25" customHeight="1" x14ac:dyDescent="0.15">
      <c r="A42" s="257" t="s">
        <v>26</v>
      </c>
      <c r="B42" s="148">
        <v>0</v>
      </c>
      <c r="C42" s="150" t="str">
        <f t="shared" ref="C42:C49" si="4">IF(B42=0," ",(B42/B$30)*100)</f>
        <v xml:space="preserve"> </v>
      </c>
      <c r="D42" s="148">
        <v>0</v>
      </c>
      <c r="E42" s="150" t="str">
        <f t="shared" si="1"/>
        <v xml:space="preserve"> </v>
      </c>
      <c r="F42" s="148">
        <v>0</v>
      </c>
      <c r="G42" s="150" t="str">
        <f>IF(F42=0," ",(F42/F$30)*100)</f>
        <v xml:space="preserve"> </v>
      </c>
    </row>
    <row r="43" spans="1:7" ht="11.25" customHeight="1" x14ac:dyDescent="0.15">
      <c r="A43" s="257" t="s">
        <v>27</v>
      </c>
      <c r="B43" s="148">
        <v>0</v>
      </c>
      <c r="C43" s="150" t="str">
        <f>IF(B43=0," ",(B43/B$30)*100)</f>
        <v xml:space="preserve"> </v>
      </c>
      <c r="D43" s="148">
        <v>0</v>
      </c>
      <c r="E43" s="150" t="str">
        <f t="shared" si="1"/>
        <v xml:space="preserve"> </v>
      </c>
      <c r="F43" s="148">
        <v>0</v>
      </c>
      <c r="G43" s="150" t="str">
        <f t="shared" si="3"/>
        <v xml:space="preserve"> </v>
      </c>
    </row>
    <row r="44" spans="1:7" ht="11.25" customHeight="1" x14ac:dyDescent="0.15">
      <c r="A44" s="257" t="s">
        <v>28</v>
      </c>
      <c r="B44" s="148">
        <v>0</v>
      </c>
      <c r="C44" s="150" t="str">
        <f>IF(B44=0," ",(B44/B$30)*100)</f>
        <v xml:space="preserve"> </v>
      </c>
      <c r="D44" s="148">
        <v>0</v>
      </c>
      <c r="E44" s="150" t="str">
        <f t="shared" si="1"/>
        <v xml:space="preserve"> </v>
      </c>
      <c r="F44" s="148">
        <v>0</v>
      </c>
      <c r="G44" s="150" t="str">
        <f t="shared" si="3"/>
        <v xml:space="preserve"> </v>
      </c>
    </row>
    <row r="45" spans="1:7" ht="11.25" customHeight="1" x14ac:dyDescent="0.15">
      <c r="A45" s="257" t="s">
        <v>131</v>
      </c>
      <c r="B45" s="148">
        <v>0</v>
      </c>
      <c r="C45" s="150" t="str">
        <f>IF(B45=0," ",(B45/B$30)*100)</f>
        <v xml:space="preserve"> </v>
      </c>
      <c r="D45" s="148">
        <v>0</v>
      </c>
      <c r="E45" s="150" t="str">
        <f t="shared" si="1"/>
        <v xml:space="preserve"> </v>
      </c>
      <c r="F45" s="148">
        <v>0</v>
      </c>
      <c r="G45" s="150" t="str">
        <f t="shared" si="3"/>
        <v xml:space="preserve"> </v>
      </c>
    </row>
    <row r="46" spans="1:7" x14ac:dyDescent="0.15">
      <c r="A46" s="257" t="s">
        <v>29</v>
      </c>
      <c r="B46" s="148">
        <v>0</v>
      </c>
      <c r="C46" s="150" t="str">
        <f>IF(B46=0," ",(B46/B$30)*100)</f>
        <v xml:space="preserve"> </v>
      </c>
      <c r="D46" s="148">
        <v>0</v>
      </c>
      <c r="E46" s="150" t="str">
        <f t="shared" si="1"/>
        <v xml:space="preserve"> </v>
      </c>
      <c r="F46" s="148">
        <v>0</v>
      </c>
      <c r="G46" s="150" t="str">
        <f t="shared" si="3"/>
        <v xml:space="preserve"> </v>
      </c>
    </row>
    <row r="47" spans="1:7" ht="11.25" customHeight="1" x14ac:dyDescent="0.15">
      <c r="A47" s="257" t="s">
        <v>30</v>
      </c>
      <c r="B47" s="148">
        <v>0</v>
      </c>
      <c r="C47" s="150" t="str">
        <f t="shared" si="4"/>
        <v xml:space="preserve"> </v>
      </c>
      <c r="D47" s="148">
        <v>0</v>
      </c>
      <c r="E47" s="150" t="str">
        <f t="shared" si="1"/>
        <v xml:space="preserve"> </v>
      </c>
      <c r="F47" s="148">
        <v>0</v>
      </c>
      <c r="G47" s="150" t="str">
        <f t="shared" si="3"/>
        <v xml:space="preserve"> </v>
      </c>
    </row>
    <row r="48" spans="1:7" ht="11.25" customHeight="1" x14ac:dyDescent="0.15">
      <c r="A48" s="288" t="s">
        <v>31</v>
      </c>
      <c r="B48" s="289">
        <f>SUM(B40:B47)</f>
        <v>3625169714</v>
      </c>
      <c r="C48" s="290">
        <f t="shared" si="4"/>
        <v>5.230572956086851</v>
      </c>
      <c r="D48" s="289">
        <f>SUM(D40:D47)</f>
        <v>2753695891</v>
      </c>
      <c r="E48" s="290">
        <f t="shared" si="1"/>
        <v>4.9197579799694502</v>
      </c>
      <c r="F48" s="289">
        <f>SUM(F40:F47)</f>
        <v>1837870764</v>
      </c>
      <c r="G48" s="290">
        <f t="shared" si="3"/>
        <v>3.5846472562274765</v>
      </c>
    </row>
    <row r="49" spans="1:38" ht="11.25" customHeight="1" x14ac:dyDescent="0.15">
      <c r="A49" s="288" t="s">
        <v>109</v>
      </c>
      <c r="B49" s="289">
        <f>B39+B48</f>
        <v>64608414162</v>
      </c>
      <c r="C49" s="290">
        <f t="shared" si="4"/>
        <v>93.220193952943291</v>
      </c>
      <c r="D49" s="289">
        <f>D39+D48</f>
        <v>51885480243</v>
      </c>
      <c r="E49" s="290">
        <f t="shared" si="1"/>
        <v>92.698691349445923</v>
      </c>
      <c r="F49" s="289">
        <f>F39+F48</f>
        <v>48372248602</v>
      </c>
      <c r="G49" s="290">
        <f t="shared" si="3"/>
        <v>94.346921244519393</v>
      </c>
    </row>
    <row r="50" spans="1:38" x14ac:dyDescent="0.15">
      <c r="A50" s="257" t="s">
        <v>19</v>
      </c>
      <c r="B50" s="148">
        <v>3919663400</v>
      </c>
      <c r="C50" s="150">
        <f t="shared" ref="C50:C59" si="5">IF(B50=0," ",(B50/B$30)*100)</f>
        <v>5.6554829137589548</v>
      </c>
      <c r="D50" s="148">
        <v>3324121000</v>
      </c>
      <c r="E50" s="150">
        <f t="shared" ref="E50:E59" si="6">IF(D50=0," ",(D50/D$30)*100)</f>
        <v>5.9388804949682186</v>
      </c>
      <c r="F50" s="148">
        <v>2275876700</v>
      </c>
      <c r="G50" s="150">
        <f t="shared" ref="G50:G57" si="7">IF(F50=0," ",(F50/F$30)*100)</f>
        <v>4.4389493145923096</v>
      </c>
    </row>
    <row r="51" spans="1:38" ht="11.25" customHeight="1" x14ac:dyDescent="0.15">
      <c r="A51" s="257" t="s">
        <v>20</v>
      </c>
      <c r="B51" s="148">
        <v>0</v>
      </c>
      <c r="C51" s="150" t="s">
        <v>132</v>
      </c>
      <c r="D51" s="148">
        <v>0</v>
      </c>
      <c r="E51" s="150" t="s">
        <v>132</v>
      </c>
      <c r="F51" s="148">
        <v>0</v>
      </c>
      <c r="G51" s="150" t="s">
        <v>132</v>
      </c>
      <c r="AI51" s="8"/>
    </row>
    <row r="52" spans="1:38" ht="11.25" customHeight="1" x14ac:dyDescent="0.15">
      <c r="A52" s="288" t="s">
        <v>21</v>
      </c>
      <c r="B52" s="291">
        <f>+B50-B51</f>
        <v>3919663400</v>
      </c>
      <c r="C52" s="290">
        <f t="shared" si="5"/>
        <v>5.6554829137589548</v>
      </c>
      <c r="D52" s="291">
        <f>+D50-D51</f>
        <v>3324121000</v>
      </c>
      <c r="E52" s="290">
        <f t="shared" si="6"/>
        <v>5.9388804949682186</v>
      </c>
      <c r="F52" s="291">
        <f>+F50-F51</f>
        <v>2275876700</v>
      </c>
      <c r="G52" s="290">
        <f t="shared" si="7"/>
        <v>4.4389493145923096</v>
      </c>
    </row>
    <row r="53" spans="1:38" ht="11.25" customHeight="1" x14ac:dyDescent="0.15">
      <c r="A53" s="257" t="s">
        <v>22</v>
      </c>
      <c r="B53" s="148">
        <v>187317746</v>
      </c>
      <c r="C53" s="150">
        <f t="shared" si="5"/>
        <v>0.27027124623681714</v>
      </c>
      <c r="D53" s="148">
        <v>156164026</v>
      </c>
      <c r="E53" s="150">
        <f t="shared" si="6"/>
        <v>0.27900292679692157</v>
      </c>
      <c r="F53" s="148">
        <v>124247258</v>
      </c>
      <c r="G53" s="150">
        <f t="shared" si="7"/>
        <v>0.24233618663922957</v>
      </c>
    </row>
    <row r="54" spans="1:38" ht="11.25" customHeight="1" x14ac:dyDescent="0.15">
      <c r="A54" s="257" t="s">
        <v>23</v>
      </c>
      <c r="B54" s="148">
        <v>591920438</v>
      </c>
      <c r="C54" s="150">
        <f t="shared" si="5"/>
        <v>0.85405188706094426</v>
      </c>
      <c r="D54" s="148">
        <v>606416741</v>
      </c>
      <c r="E54" s="150">
        <f t="shared" si="6"/>
        <v>1.0834252287889321</v>
      </c>
      <c r="F54" s="148">
        <v>498244397</v>
      </c>
      <c r="G54" s="150">
        <f t="shared" si="7"/>
        <v>0.97179325424905871</v>
      </c>
    </row>
    <row r="55" spans="1:38" ht="11.25" customHeight="1" x14ac:dyDescent="0.15">
      <c r="A55" s="257" t="s">
        <v>133</v>
      </c>
      <c r="B55" s="148">
        <v>0</v>
      </c>
      <c r="C55" s="150" t="str">
        <f t="shared" si="5"/>
        <v xml:space="preserve"> </v>
      </c>
      <c r="D55" s="148">
        <v>0</v>
      </c>
      <c r="E55" s="150" t="str">
        <f t="shared" si="6"/>
        <v xml:space="preserve"> </v>
      </c>
      <c r="F55" s="148">
        <v>0</v>
      </c>
      <c r="G55" s="150" t="str">
        <f t="shared" si="7"/>
        <v xml:space="preserve"> </v>
      </c>
    </row>
    <row r="56" spans="1:38" ht="11.25" customHeight="1" x14ac:dyDescent="0.15">
      <c r="A56" s="288" t="s">
        <v>24</v>
      </c>
      <c r="B56" s="289">
        <f>SUM(B52:B55)</f>
        <v>4698901584</v>
      </c>
      <c r="C56" s="290">
        <f>IF(B56=0," ",(B56/B$30)*100)</f>
        <v>6.7798060470567165</v>
      </c>
      <c r="D56" s="289">
        <f>SUM(D52:D55)</f>
        <v>4086701767</v>
      </c>
      <c r="E56" s="290">
        <f>IF(D56=0," ",(D56/D$30)*100)</f>
        <v>7.3013086505540725</v>
      </c>
      <c r="F56" s="289">
        <f>SUM(F52:F55)</f>
        <v>2898368355</v>
      </c>
      <c r="G56" s="290">
        <f>IF(F56=0," ",(F56/F$30)*100)</f>
        <v>5.6530787554805979</v>
      </c>
    </row>
    <row r="57" spans="1:38" x14ac:dyDescent="0.15">
      <c r="A57" s="257" t="s">
        <v>25</v>
      </c>
      <c r="B57" s="148">
        <v>0</v>
      </c>
      <c r="C57" s="150" t="str">
        <f t="shared" si="5"/>
        <v xml:space="preserve"> </v>
      </c>
      <c r="D57" s="148">
        <v>0</v>
      </c>
      <c r="E57" s="150" t="str">
        <f t="shared" si="6"/>
        <v xml:space="preserve"> </v>
      </c>
      <c r="F57" s="148">
        <v>0</v>
      </c>
      <c r="G57" s="150" t="str">
        <f t="shared" si="7"/>
        <v xml:space="preserve"> </v>
      </c>
    </row>
    <row r="58" spans="1:38" x14ac:dyDescent="0.15">
      <c r="C58" t="str">
        <f t="shared" si="5"/>
        <v xml:space="preserve"> </v>
      </c>
      <c r="E58" t="str">
        <f t="shared" si="6"/>
        <v xml:space="preserve"> </v>
      </c>
      <c r="G58" t="str">
        <f t="shared" si="3"/>
        <v xml:space="preserve"> </v>
      </c>
      <c r="I58">
        <f>196/((1746+1329)/2)</f>
        <v>0.12747967479674796</v>
      </c>
    </row>
    <row r="59" spans="1:38" ht="11.25" customHeight="1" x14ac:dyDescent="0.15">
      <c r="A59" s="257" t="s">
        <v>36</v>
      </c>
      <c r="B59" s="259">
        <v>13285561148</v>
      </c>
      <c r="C59" s="150">
        <f t="shared" si="5"/>
        <v>19.169060300487491</v>
      </c>
      <c r="D59" s="259">
        <v>9839632757</v>
      </c>
      <c r="E59" s="150">
        <f t="shared" si="6"/>
        <v>17.579505396523668</v>
      </c>
      <c r="F59" s="259">
        <v>5580473452</v>
      </c>
      <c r="G59" s="150">
        <f>IF(F59=0," ",(F59/F$30)*100)</f>
        <v>10.884350107743526</v>
      </c>
      <c r="I59">
        <f>301/1329</f>
        <v>0.22648607975921745</v>
      </c>
    </row>
    <row r="60" spans="1:38" ht="11.25" customHeight="1" x14ac:dyDescent="0.15">
      <c r="B60" s="27" t="str">
        <f>IF(ABS(B39+B48+B56+B57-B30)&lt;0.01,"BALANCE CUADRA","BALANCE NO CUADRA POR:")</f>
        <v>BALANCE CUADRA</v>
      </c>
      <c r="D60" s="27" t="str">
        <f>IF(ABS(D39+D48+D56+D57-D30)&lt;0.01,"BALANCE CUADRA","BALANCE NO CUADRA POR:")</f>
        <v>BALANCE CUADRA</v>
      </c>
      <c r="F60" s="27" t="str">
        <f>IF(ABS(F39+F48+F56+F57-F30)&lt;0.01,"BALANCE CUADRA","BALANCE NO CUADRA POR:")</f>
        <v>BALANCE CUADRA</v>
      </c>
    </row>
    <row r="61" spans="1:38" ht="11.25" customHeight="1" x14ac:dyDescent="0.15">
      <c r="B61" s="147">
        <f>B39+B48+B56+B57-B30</f>
        <v>0</v>
      </c>
      <c r="D61" s="147">
        <f>D39+D48+D56+D57-D30</f>
        <v>0</v>
      </c>
      <c r="F61" s="147">
        <f>F39+F48+F56+F57-F30</f>
        <v>0</v>
      </c>
    </row>
    <row r="62" spans="1:38" ht="11.25" customHeight="1" x14ac:dyDescent="0.15">
      <c r="B62" s="8"/>
      <c r="D62" s="8"/>
      <c r="AI62" s="29" t="s">
        <v>132</v>
      </c>
      <c r="AK62" s="8"/>
      <c r="AL62" s="8"/>
    </row>
    <row r="63" spans="1:38" x14ac:dyDescent="0.15">
      <c r="B63" s="8"/>
      <c r="D63" s="8"/>
      <c r="AJ63" s="8"/>
    </row>
    <row r="64" spans="1:38" ht="15" customHeight="1" x14ac:dyDescent="0.15">
      <c r="AJ64" s="8"/>
      <c r="AK64" s="8"/>
    </row>
    <row r="66" ht="6" customHeight="1" x14ac:dyDescent="0.15"/>
  </sheetData>
  <mergeCells count="3">
    <mergeCell ref="A5:G5"/>
    <mergeCell ref="A3:G3"/>
    <mergeCell ref="A6:G6"/>
  </mergeCells>
  <phoneticPr fontId="16" type="noConversion"/>
  <printOptions horizontalCentered="1" gridLinesSet="0"/>
  <pageMargins left="0.59055118110236227" right="0.59055118110236227" top="0.39370078740157483" bottom="0.39370078740157483" header="0.51181102362204722" footer="0.51181102362204722"/>
  <pageSetup scale="89" orientation="portrait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pageSetUpPr fitToPage="1"/>
  </sheetPr>
  <dimension ref="A1:AJ55"/>
  <sheetViews>
    <sheetView showGridLines="0" topLeftCell="A3" zoomScaleNormal="100" workbookViewId="0">
      <selection activeCell="A26" sqref="A26:G26"/>
    </sheetView>
  </sheetViews>
  <sheetFormatPr baseColWidth="10" defaultColWidth="11.5" defaultRowHeight="13" x14ac:dyDescent="0.15"/>
  <cols>
    <col min="1" max="1" width="41.5" customWidth="1"/>
    <col min="2" max="2" width="13.5" customWidth="1"/>
    <col min="3" max="3" width="4.5" style="8" customWidth="1"/>
    <col min="4" max="4" width="7.5" style="8" customWidth="1"/>
    <col min="5" max="5" width="13.5" bestFit="1" customWidth="1"/>
    <col min="6" max="6" width="4.5" style="8" customWidth="1"/>
    <col min="7" max="7" width="13.5" bestFit="1" customWidth="1"/>
    <col min="8" max="8" width="4.5" customWidth="1"/>
    <col min="9" max="34" width="0" hidden="1" customWidth="1"/>
  </cols>
  <sheetData>
    <row r="1" spans="1:8" ht="12.75" customHeight="1" x14ac:dyDescent="0.15">
      <c r="A1" s="142" t="s">
        <v>248</v>
      </c>
      <c r="G1" s="142"/>
      <c r="H1" s="142"/>
    </row>
    <row r="2" spans="1:8" ht="14" thickBot="1" x14ac:dyDescent="0.2">
      <c r="F2" s="142"/>
      <c r="G2" s="142"/>
      <c r="H2" s="142"/>
    </row>
    <row r="3" spans="1:8" ht="32" customHeight="1" thickBot="1" x14ac:dyDescent="0.2">
      <c r="A3" s="144" t="s">
        <v>246</v>
      </c>
      <c r="B3" s="145" t="s">
        <v>245</v>
      </c>
      <c r="F3" s="23"/>
      <c r="G3" s="1"/>
      <c r="H3" s="1"/>
    </row>
    <row r="4" spans="1:8" ht="27.75" customHeight="1" thickBot="1" x14ac:dyDescent="0.25">
      <c r="A4" s="305" t="s">
        <v>37</v>
      </c>
      <c r="B4" s="306"/>
      <c r="C4" s="306"/>
      <c r="D4" s="306"/>
      <c r="E4" s="306"/>
      <c r="F4" s="306"/>
      <c r="G4" s="306"/>
      <c r="H4" s="307"/>
    </row>
    <row r="5" spans="1:8" ht="19" customHeight="1" thickBot="1" x14ac:dyDescent="0.25">
      <c r="A5" s="24"/>
      <c r="B5" s="1"/>
      <c r="C5" s="28"/>
      <c r="D5" s="28"/>
      <c r="E5" s="1"/>
      <c r="F5" s="28"/>
      <c r="G5" s="1"/>
    </row>
    <row r="6" spans="1:8" ht="17" thickBot="1" x14ac:dyDescent="0.25">
      <c r="A6" s="302" t="s">
        <v>38</v>
      </c>
      <c r="B6" s="303"/>
      <c r="C6" s="303"/>
      <c r="D6" s="303"/>
      <c r="E6" s="303"/>
      <c r="F6" s="303"/>
      <c r="G6" s="303"/>
      <c r="H6" s="304"/>
    </row>
    <row r="7" spans="1:8" ht="12.75" customHeight="1" x14ac:dyDescent="0.15">
      <c r="A7" s="309" t="s">
        <v>302</v>
      </c>
      <c r="B7" s="309"/>
      <c r="C7" s="309"/>
      <c r="D7" s="309"/>
      <c r="E7" s="309"/>
      <c r="F7" s="309"/>
      <c r="G7" s="309"/>
      <c r="H7" s="309"/>
    </row>
    <row r="8" spans="1:8" x14ac:dyDescent="0.15">
      <c r="A8" s="260" t="s">
        <v>4</v>
      </c>
      <c r="B8" s="284">
        <f>'ESTRUCTURA FINANCIERA'!B9</f>
        <v>45657</v>
      </c>
      <c r="C8" s="261" t="s">
        <v>0</v>
      </c>
      <c r="D8" s="261" t="s">
        <v>125</v>
      </c>
      <c r="E8" s="284">
        <f>'ESTRUCTURA FINANCIERA'!D9</f>
        <v>45291</v>
      </c>
      <c r="F8" s="261" t="s">
        <v>0</v>
      </c>
      <c r="G8" s="284">
        <f>'ESTRUCTURA FINANCIERA'!F9</f>
        <v>44926</v>
      </c>
      <c r="H8" s="261" t="s">
        <v>0</v>
      </c>
    </row>
    <row r="9" spans="1:8" hidden="1" x14ac:dyDescent="0.15">
      <c r="A9" s="262"/>
      <c r="B9" s="151"/>
      <c r="C9" s="150"/>
      <c r="D9" s="150"/>
      <c r="E9" s="151"/>
      <c r="F9" s="150"/>
      <c r="G9" s="150"/>
      <c r="H9" s="150" t="str">
        <f t="shared" ref="H9:H19" si="0">IF(G9=0," ",(G9/G$10)*100)</f>
        <v xml:space="preserve"> </v>
      </c>
    </row>
    <row r="10" spans="1:8" x14ac:dyDescent="0.15">
      <c r="A10" s="257" t="s">
        <v>303</v>
      </c>
      <c r="B10" s="148">
        <v>7296960590</v>
      </c>
      <c r="C10" s="149">
        <f t="shared" ref="C10:C17" si="1">IF(B10=0," ",(B10/B$10)*100)</f>
        <v>100</v>
      </c>
      <c r="D10" s="149">
        <f t="shared" ref="D10:D17" si="2">IF(B10=0," ",((B10-E10)/E10)*100)</f>
        <v>20.493228545836416</v>
      </c>
      <c r="E10" s="148">
        <v>6055909264</v>
      </c>
      <c r="F10" s="149">
        <f>IF(E10=0," ",(E10/E$10)*100)</f>
        <v>100</v>
      </c>
      <c r="G10" s="148">
        <v>4357637360</v>
      </c>
      <c r="H10" s="150">
        <f>IF(G10=0," ",(G10/G$10)*100)</f>
        <v>100</v>
      </c>
    </row>
    <row r="11" spans="1:8" ht="13.25" customHeight="1" x14ac:dyDescent="0.15">
      <c r="A11" s="257" t="s">
        <v>39</v>
      </c>
      <c r="B11" s="148">
        <v>0</v>
      </c>
      <c r="C11" s="150" t="str">
        <f t="shared" si="1"/>
        <v xml:space="preserve"> </v>
      </c>
      <c r="D11" s="149" t="str">
        <f t="shared" si="2"/>
        <v xml:space="preserve"> </v>
      </c>
      <c r="E11" s="148">
        <v>0</v>
      </c>
      <c r="F11" s="150" t="str">
        <f t="shared" ref="F11:F14" si="3">IF(E11=0," ",(E11/E$10)*100)</f>
        <v xml:space="preserve"> </v>
      </c>
      <c r="G11" s="148">
        <v>0</v>
      </c>
      <c r="H11" s="150" t="str">
        <f t="shared" si="0"/>
        <v xml:space="preserve"> </v>
      </c>
    </row>
    <row r="12" spans="1:8" x14ac:dyDescent="0.15">
      <c r="A12" s="257" t="s">
        <v>304</v>
      </c>
      <c r="B12" s="148">
        <v>4514441475</v>
      </c>
      <c r="C12" s="150">
        <f t="shared" si="1"/>
        <v>61.867423008790027</v>
      </c>
      <c r="D12" s="149">
        <f t="shared" si="2"/>
        <v>22.554421853019839</v>
      </c>
      <c r="E12" s="148">
        <v>3683621861</v>
      </c>
      <c r="F12" s="150">
        <f>IF(E12=0," ",(E12/E$10)*100)</f>
        <v>60.826899816641635</v>
      </c>
      <c r="G12" s="148">
        <v>2600138001</v>
      </c>
      <c r="H12" s="150">
        <f t="shared" si="0"/>
        <v>59.6685264558132</v>
      </c>
    </row>
    <row r="13" spans="1:8" ht="27" customHeight="1" x14ac:dyDescent="0.15">
      <c r="A13" s="292" t="s">
        <v>305</v>
      </c>
      <c r="B13" s="148">
        <v>0</v>
      </c>
      <c r="C13" s="150" t="str">
        <f t="shared" si="1"/>
        <v xml:space="preserve"> </v>
      </c>
      <c r="D13" s="149" t="str">
        <f t="shared" si="2"/>
        <v xml:space="preserve"> </v>
      </c>
      <c r="E13" s="148">
        <v>15174160</v>
      </c>
      <c r="F13" s="150">
        <f t="shared" si="3"/>
        <v>0.25056782290653556</v>
      </c>
      <c r="G13" s="148">
        <v>141947140</v>
      </c>
      <c r="H13" s="150">
        <f t="shared" si="0"/>
        <v>3.2574335189746035</v>
      </c>
    </row>
    <row r="14" spans="1:8" ht="12" customHeight="1" x14ac:dyDescent="0.15">
      <c r="A14" s="257" t="s">
        <v>306</v>
      </c>
      <c r="B14" s="148">
        <v>0</v>
      </c>
      <c r="C14" s="150" t="str">
        <f t="shared" si="1"/>
        <v xml:space="preserve"> </v>
      </c>
      <c r="D14" s="149" t="str">
        <f t="shared" si="2"/>
        <v xml:space="preserve"> </v>
      </c>
      <c r="E14" s="148">
        <v>0</v>
      </c>
      <c r="F14" s="150" t="str">
        <f t="shared" si="3"/>
        <v xml:space="preserve"> </v>
      </c>
      <c r="G14" s="148">
        <v>0</v>
      </c>
      <c r="H14" s="150" t="str">
        <f t="shared" si="0"/>
        <v xml:space="preserve"> </v>
      </c>
    </row>
    <row r="15" spans="1:8" ht="12" customHeight="1" x14ac:dyDescent="0.15">
      <c r="A15" s="288" t="s">
        <v>40</v>
      </c>
      <c r="B15" s="289">
        <f>SUM(B12:B14)</f>
        <v>4514441475</v>
      </c>
      <c r="C15" s="290">
        <f t="shared" si="1"/>
        <v>61.867423008790027</v>
      </c>
      <c r="D15" s="293">
        <f t="shared" si="2"/>
        <v>22.051647329810944</v>
      </c>
      <c r="E15" s="289">
        <f>SUM(E12:E14)</f>
        <v>3698796021</v>
      </c>
      <c r="F15" s="290">
        <f>IF(E15=0," ",(E15/E$10)*100)</f>
        <v>61.077467639548175</v>
      </c>
      <c r="G15" s="289">
        <f>SUM(G12:G14)</f>
        <v>2742085141</v>
      </c>
      <c r="H15" s="290">
        <f t="shared" si="0"/>
        <v>62.925959974787801</v>
      </c>
    </row>
    <row r="16" spans="1:8" ht="12" customHeight="1" x14ac:dyDescent="0.15">
      <c r="A16" s="288" t="s">
        <v>119</v>
      </c>
      <c r="B16" s="289">
        <f>B10+B11-B15</f>
        <v>2782519115</v>
      </c>
      <c r="C16" s="290">
        <f t="shared" si="1"/>
        <v>38.13257699120998</v>
      </c>
      <c r="D16" s="293">
        <f t="shared" si="2"/>
        <v>18.047748586680864</v>
      </c>
      <c r="E16" s="289">
        <f>E10+E11-E15</f>
        <v>2357113243</v>
      </c>
      <c r="F16" s="290">
        <f>IF(E16=0," ",(E16/E$10)*100)</f>
        <v>38.922532360451825</v>
      </c>
      <c r="G16" s="289">
        <f>G10+G11-G15</f>
        <v>1615552219</v>
      </c>
      <c r="H16" s="290">
        <f t="shared" si="0"/>
        <v>37.074040025212199</v>
      </c>
    </row>
    <row r="17" spans="1:36" ht="12" customHeight="1" x14ac:dyDescent="0.15">
      <c r="A17" s="257" t="s">
        <v>41</v>
      </c>
      <c r="B17" s="148">
        <v>3031088729</v>
      </c>
      <c r="C17" s="150">
        <f t="shared" si="1"/>
        <v>41.53905851093544</v>
      </c>
      <c r="D17" s="149">
        <f t="shared" si="2"/>
        <v>18.486389826558359</v>
      </c>
      <c r="E17" s="148">
        <v>2558174600</v>
      </c>
      <c r="F17" s="150">
        <f t="shared" ref="F17:F19" si="4">IF(E17=0," ",(E17/E$10)*100)</f>
        <v>42.242617722285608</v>
      </c>
      <c r="G17" s="148">
        <v>1905512351</v>
      </c>
      <c r="H17" s="150">
        <f t="shared" si="0"/>
        <v>43.728107540366786</v>
      </c>
    </row>
    <row r="18" spans="1:36" ht="12" customHeight="1" x14ac:dyDescent="0.15">
      <c r="A18" s="257" t="s">
        <v>42</v>
      </c>
      <c r="B18" s="148">
        <v>0</v>
      </c>
      <c r="C18" s="150" t="str">
        <f t="shared" ref="C18:C19" si="5">IF(B18=0," ",(B18/B$10)*100)</f>
        <v xml:space="preserve"> </v>
      </c>
      <c r="D18" s="149" t="str">
        <f t="shared" ref="D18:D19" si="6">IF(B18=0," ",((B18-E18)/E18)*100)</f>
        <v xml:space="preserve"> </v>
      </c>
      <c r="E18" s="148">
        <v>0</v>
      </c>
      <c r="F18" s="150" t="str">
        <f t="shared" si="4"/>
        <v xml:space="preserve"> </v>
      </c>
      <c r="G18" s="148">
        <v>0</v>
      </c>
      <c r="H18" s="150" t="str">
        <f>IF(G18=0," ",(G18/G$10)*100)</f>
        <v xml:space="preserve"> </v>
      </c>
    </row>
    <row r="19" spans="1:36" ht="12" customHeight="1" x14ac:dyDescent="0.15">
      <c r="A19" s="257" t="s">
        <v>43</v>
      </c>
      <c r="B19" s="148">
        <v>1028567054</v>
      </c>
      <c r="C19" s="150">
        <f t="shared" si="5"/>
        <v>14.095828548253131</v>
      </c>
      <c r="D19" s="149">
        <f t="shared" si="6"/>
        <v>58.966781796139713</v>
      </c>
      <c r="E19" s="148">
        <v>647032696</v>
      </c>
      <c r="F19" s="150">
        <f t="shared" si="4"/>
        <v>10.684319526488864</v>
      </c>
      <c r="G19" s="148">
        <v>397614455</v>
      </c>
      <c r="H19" s="150">
        <f t="shared" si="0"/>
        <v>9.1245420890186235</v>
      </c>
    </row>
    <row r="20" spans="1:36" ht="12" customHeight="1" x14ac:dyDescent="0.15">
      <c r="A20" s="257" t="s">
        <v>110</v>
      </c>
      <c r="B20" s="148">
        <v>840639663</v>
      </c>
      <c r="C20" s="150">
        <f t="shared" ref="C20:C29" si="7">IF(B20=0," ",(B20/B$10)*100)</f>
        <v>11.520408430765555</v>
      </c>
      <c r="D20" s="149">
        <f>IF(B20=0," ",((B20-E20)/E20)*100)</f>
        <v>31.692603060355662</v>
      </c>
      <c r="E20" s="148">
        <v>638334761</v>
      </c>
      <c r="F20" s="150">
        <f t="shared" ref="F20:F28" si="8">IF(E20=0," ",(E20/E$10)*100)</f>
        <v>10.540692291984117</v>
      </c>
      <c r="G20" s="148">
        <v>577425378</v>
      </c>
      <c r="H20" s="150">
        <f t="shared" ref="H20:H28" si="9">IF(G20=0," ",(G20/G$10)*100)</f>
        <v>13.250881849424937</v>
      </c>
    </row>
    <row r="21" spans="1:36" ht="12" customHeight="1" x14ac:dyDescent="0.15">
      <c r="A21" s="288" t="s">
        <v>116</v>
      </c>
      <c r="B21" s="289">
        <f>B16-B17-B18-B19-B20</f>
        <v>-2117776331</v>
      </c>
      <c r="C21" s="290">
        <f t="shared" si="7"/>
        <v>-29.022718498744148</v>
      </c>
      <c r="D21" s="293">
        <f>IF(B21=0," ",((B21-E21)/E21)*100)</f>
        <v>42.474117230076786</v>
      </c>
      <c r="E21" s="289">
        <f>E16-E17-E18-E19-E20</f>
        <v>-1486428814</v>
      </c>
      <c r="F21" s="290">
        <f t="shared" si="8"/>
        <v>-24.545097180306762</v>
      </c>
      <c r="G21" s="289">
        <f>G16-G17-G18-G19-G20</f>
        <v>-1264999965</v>
      </c>
      <c r="H21" s="290">
        <f t="shared" si="9"/>
        <v>-29.029491453598151</v>
      </c>
    </row>
    <row r="22" spans="1:36" ht="12" customHeight="1" x14ac:dyDescent="0.15">
      <c r="A22" s="257" t="s">
        <v>44</v>
      </c>
      <c r="B22" s="148">
        <f>42531535+2350725381+407067686</f>
        <v>2800324602</v>
      </c>
      <c r="C22" s="150">
        <f t="shared" si="7"/>
        <v>38.376589368423602</v>
      </c>
      <c r="D22" s="149">
        <f t="shared" ref="D22:D26" si="10">IF(B22=0," ",((B22-E22)/E22)*100)</f>
        <v>29.440264191641656</v>
      </c>
      <c r="E22" s="148">
        <f>42817313+2017947711+102645735</f>
        <v>2163410759</v>
      </c>
      <c r="F22" s="150">
        <f t="shared" si="8"/>
        <v>35.723962574218646</v>
      </c>
      <c r="G22" s="148">
        <f>137283183+1600634682+60518023</f>
        <v>1798435888</v>
      </c>
      <c r="H22" s="150">
        <f t="shared" si="9"/>
        <v>41.270893822151365</v>
      </c>
    </row>
    <row r="23" spans="1:36" ht="12" customHeight="1" x14ac:dyDescent="0.15">
      <c r="A23" s="257" t="s">
        <v>45</v>
      </c>
      <c r="B23" s="152">
        <v>0</v>
      </c>
      <c r="C23" s="153" t="str">
        <f t="shared" si="7"/>
        <v xml:space="preserve"> </v>
      </c>
      <c r="D23" s="149" t="str">
        <f t="shared" si="10"/>
        <v xml:space="preserve"> </v>
      </c>
      <c r="E23" s="152">
        <v>0</v>
      </c>
      <c r="F23" s="153" t="str">
        <f t="shared" si="8"/>
        <v xml:space="preserve"> </v>
      </c>
      <c r="G23" s="152"/>
      <c r="H23" s="153" t="str">
        <f t="shared" si="9"/>
        <v xml:space="preserve"> </v>
      </c>
    </row>
    <row r="24" spans="1:36" ht="12" customHeight="1" x14ac:dyDescent="0.15">
      <c r="A24" s="257" t="s">
        <v>46</v>
      </c>
      <c r="B24" s="148">
        <v>0</v>
      </c>
      <c r="C24" s="150" t="str">
        <f t="shared" si="7"/>
        <v xml:space="preserve"> </v>
      </c>
      <c r="D24" s="149" t="str">
        <f t="shared" si="10"/>
        <v xml:space="preserve"> </v>
      </c>
      <c r="E24" s="148">
        <v>0</v>
      </c>
      <c r="F24" s="150" t="str">
        <f t="shared" si="8"/>
        <v xml:space="preserve"> </v>
      </c>
      <c r="G24" s="148">
        <v>0</v>
      </c>
      <c r="H24" s="150" t="str">
        <f t="shared" si="9"/>
        <v xml:space="preserve"> </v>
      </c>
    </row>
    <row r="25" spans="1:36" ht="12" customHeight="1" x14ac:dyDescent="0.15">
      <c r="A25" s="257" t="s">
        <v>47</v>
      </c>
      <c r="B25" s="148">
        <v>0</v>
      </c>
      <c r="C25" s="150" t="str">
        <f t="shared" ref="C25" si="11">IF(B25=0," ",(B25/B$10)*100)</f>
        <v xml:space="preserve"> </v>
      </c>
      <c r="D25" s="149" t="str">
        <f t="shared" ref="D25" si="12">IF(B25=0," ",((B25-E25)/E25)*100)</f>
        <v xml:space="preserve"> </v>
      </c>
      <c r="E25" s="148">
        <v>0</v>
      </c>
      <c r="F25" s="150" t="str">
        <f t="shared" si="8"/>
        <v xml:space="preserve"> </v>
      </c>
      <c r="G25" s="148">
        <v>0</v>
      </c>
      <c r="H25" s="150" t="str">
        <f t="shared" si="9"/>
        <v xml:space="preserve"> </v>
      </c>
    </row>
    <row r="26" spans="1:36" ht="12" customHeight="1" x14ac:dyDescent="0.15">
      <c r="A26" s="288" t="s">
        <v>48</v>
      </c>
      <c r="B26" s="289">
        <f>B22-B23+B24+B25</f>
        <v>2800324602</v>
      </c>
      <c r="C26" s="290">
        <f t="shared" si="7"/>
        <v>38.376589368423602</v>
      </c>
      <c r="D26" s="293">
        <f t="shared" si="10"/>
        <v>29.440264191641656</v>
      </c>
      <c r="E26" s="289">
        <f>E22-E23+E24+E25</f>
        <v>2163410759</v>
      </c>
      <c r="F26" s="290">
        <f t="shared" si="8"/>
        <v>35.723962574218646</v>
      </c>
      <c r="G26" s="289">
        <f>G22-G23+G24+G25</f>
        <v>1798435888</v>
      </c>
      <c r="H26" s="290">
        <f t="shared" si="9"/>
        <v>41.270893822151365</v>
      </c>
    </row>
    <row r="27" spans="1:36" ht="12" customHeight="1" x14ac:dyDescent="0.15">
      <c r="A27" s="288" t="s">
        <v>49</v>
      </c>
      <c r="B27" s="289">
        <f>B21+B26</f>
        <v>682548271</v>
      </c>
      <c r="C27" s="290">
        <f t="shared" si="7"/>
        <v>9.3538708696794544</v>
      </c>
      <c r="D27" s="293">
        <f>IF(B27=0," ",((B27-E27)/E27)*100)</f>
        <v>0.8222266548039181</v>
      </c>
      <c r="E27" s="289">
        <f>E21+E26</f>
        <v>676981945</v>
      </c>
      <c r="F27" s="290">
        <f t="shared" si="8"/>
        <v>11.178865393911884</v>
      </c>
      <c r="G27" s="289">
        <f>G21+G26</f>
        <v>533435923</v>
      </c>
      <c r="H27" s="290">
        <f t="shared" si="9"/>
        <v>12.241402368553219</v>
      </c>
    </row>
    <row r="28" spans="1:36" ht="12" customHeight="1" x14ac:dyDescent="0.15">
      <c r="A28" s="257" t="s">
        <v>50</v>
      </c>
      <c r="B28" s="148">
        <v>0</v>
      </c>
      <c r="C28" s="150" t="str">
        <f t="shared" si="7"/>
        <v xml:space="preserve"> </v>
      </c>
      <c r="D28" s="149" t="str">
        <f>IF(B28=0," ",((B28-E28)/E28)*100)</f>
        <v xml:space="preserve"> </v>
      </c>
      <c r="E28" s="148">
        <v>0</v>
      </c>
      <c r="F28" s="150" t="str">
        <f t="shared" si="8"/>
        <v xml:space="preserve"> </v>
      </c>
      <c r="G28" s="148">
        <v>0</v>
      </c>
      <c r="H28" s="150" t="str">
        <f t="shared" si="9"/>
        <v xml:space="preserve"> </v>
      </c>
    </row>
    <row r="29" spans="1:36" ht="12" customHeight="1" x14ac:dyDescent="0.15">
      <c r="A29" s="288" t="s">
        <v>51</v>
      </c>
      <c r="B29" s="289">
        <f>B27+B28</f>
        <v>682548271</v>
      </c>
      <c r="C29" s="290">
        <f t="shared" si="7"/>
        <v>9.3538708696794544</v>
      </c>
      <c r="D29" s="293">
        <f>IF(B29=0," ",((B29-E29)/E29)*100)</f>
        <v>0.8222266548039181</v>
      </c>
      <c r="E29" s="289">
        <f>E27+E28</f>
        <v>676981945</v>
      </c>
      <c r="F29" s="290">
        <f t="shared" ref="F29:F34" si="13">IF(E29=0," ",(E29/E$10)*100)</f>
        <v>11.178865393911884</v>
      </c>
      <c r="G29" s="289">
        <f>G27+G28</f>
        <v>533435923</v>
      </c>
      <c r="H29" s="290">
        <f t="shared" ref="H29:H34" si="14">IF(G29=0," ",(G29/G$10)*100)</f>
        <v>12.241402368553219</v>
      </c>
    </row>
    <row r="30" spans="1:36" ht="12" customHeight="1" x14ac:dyDescent="0.15">
      <c r="A30" s="257" t="s">
        <v>52</v>
      </c>
      <c r="B30" s="152">
        <v>59474126</v>
      </c>
      <c r="C30" s="153">
        <f t="shared" ref="C30:C31" si="15">IF(B30=0," ",(B30/B$10)*100)</f>
        <v>0.81505340842193041</v>
      </c>
      <c r="D30" s="149">
        <f>IF(B30=0," ",((B30-E30)/E30)*100)</f>
        <v>53.884562707722964</v>
      </c>
      <c r="E30" s="152">
        <v>38648533</v>
      </c>
      <c r="F30" s="153">
        <f t="shared" si="13"/>
        <v>0.63819537769085044</v>
      </c>
      <c r="G30" s="152">
        <v>8968137</v>
      </c>
      <c r="H30" s="153">
        <f t="shared" si="14"/>
        <v>0.20580273802315668</v>
      </c>
    </row>
    <row r="31" spans="1:36" ht="12" customHeight="1" x14ac:dyDescent="0.15">
      <c r="A31" s="257" t="s">
        <v>53</v>
      </c>
      <c r="B31" s="151">
        <f>B29-B30</f>
        <v>623074145</v>
      </c>
      <c r="C31" s="150">
        <f t="shared" si="15"/>
        <v>8.5388174612575245</v>
      </c>
      <c r="D31" s="149">
        <f>IF(B31=0," ",((B31-E31)/E31)*100)</f>
        <v>-2.3904853973083271</v>
      </c>
      <c r="E31" s="151">
        <f>E29-E30</f>
        <v>638333412</v>
      </c>
      <c r="F31" s="150">
        <f t="shared" si="13"/>
        <v>10.540670016221036</v>
      </c>
      <c r="G31" s="151">
        <f>G29-G30</f>
        <v>524467786</v>
      </c>
      <c r="H31" s="150">
        <f t="shared" si="14"/>
        <v>12.035599630530063</v>
      </c>
      <c r="AJ31" s="8"/>
    </row>
    <row r="32" spans="1:36" ht="12" customHeight="1" x14ac:dyDescent="0.15">
      <c r="A32" s="257" t="s">
        <v>54</v>
      </c>
      <c r="B32" s="148">
        <v>0</v>
      </c>
      <c r="C32" s="150" t="str">
        <f t="shared" ref="C32:C34" si="16">IF(B32=0," ",(B32/B$10)*100)</f>
        <v xml:space="preserve"> </v>
      </c>
      <c r="D32" s="149" t="str">
        <f t="shared" ref="D32:D34" si="17">IF(B32=0," ",((B32-E32)/E32)*100)</f>
        <v xml:space="preserve"> </v>
      </c>
      <c r="E32" s="148">
        <v>0</v>
      </c>
      <c r="F32" s="150" t="str">
        <f t="shared" si="13"/>
        <v xml:space="preserve"> </v>
      </c>
      <c r="G32" s="148">
        <v>0</v>
      </c>
      <c r="H32" s="150" t="str">
        <f t="shared" si="14"/>
        <v xml:space="preserve"> </v>
      </c>
    </row>
    <row r="33" spans="1:35" ht="12" customHeight="1" x14ac:dyDescent="0.15">
      <c r="A33" s="257" t="s">
        <v>25</v>
      </c>
      <c r="B33" s="148">
        <v>0</v>
      </c>
      <c r="C33" s="150" t="str">
        <f t="shared" si="16"/>
        <v xml:space="preserve"> </v>
      </c>
      <c r="D33" s="149" t="str">
        <f t="shared" si="17"/>
        <v xml:space="preserve"> </v>
      </c>
      <c r="E33" s="148">
        <v>0</v>
      </c>
      <c r="F33" s="150" t="str">
        <f t="shared" si="13"/>
        <v xml:space="preserve"> </v>
      </c>
      <c r="G33" s="148">
        <v>0</v>
      </c>
      <c r="H33" s="150" t="str">
        <f t="shared" si="14"/>
        <v xml:space="preserve"> </v>
      </c>
      <c r="AI33" s="8"/>
    </row>
    <row r="34" spans="1:35" ht="12" customHeight="1" x14ac:dyDescent="0.15">
      <c r="A34" s="257" t="s">
        <v>22</v>
      </c>
      <c r="B34" s="148">
        <v>0</v>
      </c>
      <c r="C34" s="150" t="str">
        <f t="shared" si="16"/>
        <v xml:space="preserve"> </v>
      </c>
      <c r="D34" s="149" t="str">
        <f t="shared" si="17"/>
        <v xml:space="preserve"> </v>
      </c>
      <c r="E34" s="148">
        <v>0</v>
      </c>
      <c r="F34" s="150" t="str">
        <f t="shared" si="13"/>
        <v xml:space="preserve"> </v>
      </c>
      <c r="G34" s="148">
        <v>0</v>
      </c>
      <c r="H34" s="150" t="str">
        <f t="shared" si="14"/>
        <v xml:space="preserve"> </v>
      </c>
      <c r="J34">
        <f>B21+532</f>
        <v>-2117775799</v>
      </c>
    </row>
    <row r="35" spans="1:35" ht="12" customHeight="1" x14ac:dyDescent="0.15"/>
    <row r="36" spans="1:35" ht="12" customHeight="1" x14ac:dyDescent="0.15">
      <c r="B36" s="8">
        <f>B31-DUPONT!J14</f>
        <v>0</v>
      </c>
      <c r="E36" s="8">
        <f>E31-DUPONT!J15</f>
        <v>0</v>
      </c>
      <c r="G36" s="8">
        <f>G31-DUPONT!J16</f>
        <v>0</v>
      </c>
    </row>
    <row r="37" spans="1:35" ht="12" customHeight="1" x14ac:dyDescent="0.15">
      <c r="B37">
        <f>B36/2</f>
        <v>0</v>
      </c>
      <c r="E37">
        <f>E36/2</f>
        <v>0</v>
      </c>
      <c r="G37">
        <f>G36/2</f>
        <v>0</v>
      </c>
    </row>
    <row r="38" spans="1:35" ht="12" customHeight="1" x14ac:dyDescent="0.15">
      <c r="B38">
        <f>B36*2</f>
        <v>0</v>
      </c>
      <c r="E38">
        <f>E36*2</f>
        <v>0</v>
      </c>
      <c r="G38">
        <f>G36*2</f>
        <v>0</v>
      </c>
    </row>
    <row r="39" spans="1:35" x14ac:dyDescent="0.15">
      <c r="G39" s="133">
        <f>+G31-524467786</f>
        <v>0</v>
      </c>
    </row>
    <row r="40" spans="1:35" ht="12" customHeight="1" x14ac:dyDescent="0.15"/>
    <row r="41" spans="1:35" ht="12" customHeight="1" x14ac:dyDescent="0.15"/>
    <row r="42" spans="1:35" ht="12" customHeight="1" x14ac:dyDescent="0.15"/>
    <row r="43" spans="1:35" ht="12" customHeight="1" x14ac:dyDescent="0.15"/>
    <row r="44" spans="1:35" ht="12" customHeight="1" x14ac:dyDescent="0.15">
      <c r="AI44" s="8"/>
    </row>
    <row r="45" spans="1:35" ht="12" customHeight="1" x14ac:dyDescent="0.15"/>
    <row r="46" spans="1:35" ht="12" customHeight="1" x14ac:dyDescent="0.15"/>
    <row r="47" spans="1:35" ht="12" customHeight="1" x14ac:dyDescent="0.15"/>
    <row r="48" spans="1:35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</sheetData>
  <mergeCells count="3">
    <mergeCell ref="A7:H7"/>
    <mergeCell ref="A6:H6"/>
    <mergeCell ref="A4:H4"/>
  </mergeCells>
  <phoneticPr fontId="16" type="noConversion"/>
  <printOptions horizontalCentered="1" gridLinesSet="0"/>
  <pageMargins left="0.78740157480314965" right="0.78740157480314965" top="0.78740157480314965" bottom="0.78740157480314965" header="0.51181102362204722" footer="0.51181102362204722"/>
  <pageSetup scale="95" orientation="portrait" blackAndWhite="1" verticalDpi="14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'CAPITAL DE TRABAJO'!$AL$10:$AL$11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A1:AL49"/>
  <sheetViews>
    <sheetView showGridLines="0" zoomScale="90" zoomScaleNormal="90" workbookViewId="0">
      <selection activeCell="A3" sqref="A3:E35"/>
    </sheetView>
  </sheetViews>
  <sheetFormatPr baseColWidth="10" defaultColWidth="11.5" defaultRowHeight="13" x14ac:dyDescent="0.15"/>
  <cols>
    <col min="1" max="1" width="57.1640625" customWidth="1"/>
    <col min="2" max="4" width="19.33203125" bestFit="1" customWidth="1"/>
    <col min="5" max="5" width="11.5" bestFit="1" customWidth="1"/>
    <col min="6" max="7" width="0" hidden="1" customWidth="1"/>
    <col min="8" max="8" width="17.5" bestFit="1" customWidth="1"/>
    <col min="9" max="10" width="0" hidden="1" customWidth="1"/>
    <col min="11" max="12" width="6.5" bestFit="1" customWidth="1"/>
    <col min="13" max="34" width="0" hidden="1" customWidth="1"/>
    <col min="35" max="35" width="2.1640625" bestFit="1" customWidth="1"/>
    <col min="36" max="36" width="0" hidden="1" customWidth="1"/>
    <col min="37" max="37" width="10.83203125" hidden="1" customWidth="1"/>
    <col min="38" max="38" width="9.5" bestFit="1" customWidth="1"/>
    <col min="39" max="39" width="10.83203125" customWidth="1"/>
  </cols>
  <sheetData>
    <row r="1" spans="1:38" ht="11.25" customHeight="1" x14ac:dyDescent="0.15">
      <c r="E1" s="1"/>
    </row>
    <row r="2" spans="1:38" ht="14" thickBot="1" x14ac:dyDescent="0.2">
      <c r="E2" s="1"/>
    </row>
    <row r="3" spans="1:38" ht="21" thickBot="1" x14ac:dyDescent="0.25">
      <c r="A3" s="11" t="s">
        <v>55</v>
      </c>
      <c r="B3" s="3"/>
      <c r="C3" s="3"/>
      <c r="D3" s="3"/>
      <c r="E3" s="6"/>
    </row>
    <row r="4" spans="1:38" ht="14" thickBot="1" x14ac:dyDescent="0.2">
      <c r="A4" s="136" t="str">
        <f>+'ESTRUCTURA ECONOMICA'!A7</f>
        <v>(Expresado en pesos Dominicanos DOP)</v>
      </c>
      <c r="B4" s="3"/>
      <c r="C4" s="3"/>
      <c r="D4" s="3"/>
      <c r="E4" s="6"/>
    </row>
    <row r="5" spans="1:38" ht="16" x14ac:dyDescent="0.2">
      <c r="A5" s="247" t="s">
        <v>102</v>
      </c>
      <c r="B5" s="248"/>
      <c r="C5" s="248"/>
      <c r="D5" s="248"/>
      <c r="E5" s="252"/>
    </row>
    <row r="6" spans="1:38" x14ac:dyDescent="0.15">
      <c r="A6" s="255" t="s">
        <v>4</v>
      </c>
      <c r="B6" s="236">
        <f>'ESTRUCTURA ECONOMICA'!B8</f>
        <v>45657</v>
      </c>
      <c r="C6" s="236">
        <f>'ESTRUCTURA ECONOMICA'!E8</f>
        <v>45291</v>
      </c>
      <c r="D6" s="236">
        <f>'ESTRUCTURA ECONOMICA'!G8</f>
        <v>44926</v>
      </c>
      <c r="E6" s="236" t="s">
        <v>56</v>
      </c>
    </row>
    <row r="7" spans="1:38" x14ac:dyDescent="0.15">
      <c r="A7" s="253" t="s">
        <v>24</v>
      </c>
      <c r="B7" s="300">
        <f>'ESTRUCTURA FINANCIERA'!B56</f>
        <v>4698901584</v>
      </c>
      <c r="C7" s="300">
        <f>'ESTRUCTURA FINANCIERA'!D56</f>
        <v>4086701767</v>
      </c>
      <c r="D7" s="300">
        <f>'ESTRUCTURA FINANCIERA'!F56</f>
        <v>2898368355</v>
      </c>
      <c r="E7" s="296">
        <f>IF(C7=0," ",((B7-C7)/C7))</f>
        <v>0.14980291000030785</v>
      </c>
      <c r="F7" s="1"/>
      <c r="AL7" s="117"/>
    </row>
    <row r="8" spans="1:38" x14ac:dyDescent="0.15">
      <c r="A8" s="253" t="s">
        <v>57</v>
      </c>
      <c r="B8" s="300">
        <f>'ESTRUCTURA FINANCIERA'!B48</f>
        <v>3625169714</v>
      </c>
      <c r="C8" s="300">
        <f>'ESTRUCTURA FINANCIERA'!D48</f>
        <v>2753695891</v>
      </c>
      <c r="D8" s="300">
        <f>'ESTRUCTURA FINANCIERA'!F48</f>
        <v>1837870764</v>
      </c>
      <c r="E8" s="296">
        <f t="shared" ref="E8:E19" si="0">IF(C8=0," ",((B8-C8)/C8))</f>
        <v>0.31647424316107969</v>
      </c>
    </row>
    <row r="9" spans="1:38" x14ac:dyDescent="0.15">
      <c r="A9" s="253" t="s">
        <v>58</v>
      </c>
      <c r="B9" s="295">
        <f>'ESTRUCTURA FINANCIERA'!B57</f>
        <v>0</v>
      </c>
      <c r="C9" s="295">
        <f>'ESTRUCTURA FINANCIERA'!D57</f>
        <v>0</v>
      </c>
      <c r="D9" s="295">
        <f>'ESTRUCTURA FINANCIERA'!F57</f>
        <v>0</v>
      </c>
      <c r="E9" s="296" t="str">
        <f t="shared" si="0"/>
        <v xml:space="preserve"> </v>
      </c>
    </row>
    <row r="10" spans="1:38" ht="16" x14ac:dyDescent="0.2">
      <c r="A10" s="254" t="s">
        <v>59</v>
      </c>
      <c r="B10" s="297">
        <f>SUM(B7:B9)</f>
        <v>8324071298</v>
      </c>
      <c r="C10" s="297">
        <f>SUM(C7:C9)</f>
        <v>6840397658</v>
      </c>
      <c r="D10" s="297">
        <f>SUM(D7:D9)</f>
        <v>4736239119</v>
      </c>
      <c r="E10" s="298">
        <f t="shared" si="0"/>
        <v>0.21689874100591361</v>
      </c>
      <c r="AL10" s="115"/>
    </row>
    <row r="11" spans="1:38" ht="16" x14ac:dyDescent="0.2">
      <c r="A11" s="253" t="s">
        <v>60</v>
      </c>
      <c r="B11" s="300">
        <f>'ESTRUCTURA FINANCIERA'!B29</f>
        <v>1031313965</v>
      </c>
      <c r="C11" s="300">
        <f>'ESTRUCTURA FINANCIERA'!D29</f>
        <v>989812227</v>
      </c>
      <c r="D11" s="300">
        <f>'ESTRUCTURA FINANCIERA'!F29</f>
        <v>856607398</v>
      </c>
      <c r="E11" s="296">
        <f t="shared" si="0"/>
        <v>4.1928900116526849E-2</v>
      </c>
      <c r="AL11" s="115"/>
    </row>
    <row r="12" spans="1:38" x14ac:dyDescent="0.15">
      <c r="A12" s="254" t="s">
        <v>103</v>
      </c>
      <c r="B12" s="297">
        <f>B10-B11</f>
        <v>7292757333</v>
      </c>
      <c r="C12" s="297">
        <f>C10-C11</f>
        <v>5850585431</v>
      </c>
      <c r="D12" s="297">
        <f>D10-D11</f>
        <v>3879631721</v>
      </c>
      <c r="E12" s="298">
        <f t="shared" si="0"/>
        <v>0.24650044324769385</v>
      </c>
    </row>
    <row r="13" spans="1:38" x14ac:dyDescent="0.15">
      <c r="A13" s="253" t="s">
        <v>61</v>
      </c>
      <c r="B13" s="295">
        <f>SUM(B14:B18)</f>
        <v>39460416654</v>
      </c>
      <c r="C13" s="295">
        <f>SUM(C14:C18)</f>
        <v>31140082250</v>
      </c>
      <c r="D13" s="295">
        <f>SUM(D14:D18)</f>
        <v>27027917702</v>
      </c>
      <c r="E13" s="296">
        <f t="shared" si="0"/>
        <v>0.2671905082716986</v>
      </c>
      <c r="H13" s="299"/>
    </row>
    <row r="14" spans="1:38" x14ac:dyDescent="0.15">
      <c r="A14" s="253" t="s">
        <v>62</v>
      </c>
      <c r="B14" s="295">
        <f>'ESTRUCTURA FINANCIERA'!B15</f>
        <v>19821699</v>
      </c>
      <c r="C14" s="295">
        <f>'ESTRUCTURA FINANCIERA'!D15</f>
        <v>76584927</v>
      </c>
      <c r="D14" s="295">
        <f>'ESTRUCTURA FINANCIERA'!F15</f>
        <v>113174393</v>
      </c>
      <c r="E14" s="296">
        <f t="shared" si="0"/>
        <v>-0.7411801541574885</v>
      </c>
    </row>
    <row r="15" spans="1:38" x14ac:dyDescent="0.15">
      <c r="A15" s="253" t="s">
        <v>63</v>
      </c>
      <c r="B15" s="295">
        <f>'ESTRUCTURA FINANCIERA'!B12</f>
        <v>38968370735</v>
      </c>
      <c r="C15" s="295">
        <f>'ESTRUCTURA FINANCIERA'!D12</f>
        <v>30829664914</v>
      </c>
      <c r="D15" s="295">
        <f>'ESTRUCTURA FINANCIERA'!F12</f>
        <v>26753444573</v>
      </c>
      <c r="E15" s="296">
        <f t="shared" si="0"/>
        <v>0.26398943497125549</v>
      </c>
    </row>
    <row r="16" spans="1:38" x14ac:dyDescent="0.15">
      <c r="A16" s="253" t="s">
        <v>64</v>
      </c>
      <c r="B16" s="295">
        <f>'ESTRUCTURA FINANCIERA'!B13</f>
        <v>0</v>
      </c>
      <c r="C16" s="295">
        <f>'ESTRUCTURA FINANCIERA'!D13</f>
        <v>0</v>
      </c>
      <c r="D16" s="295">
        <f>'ESTRUCTURA FINANCIERA'!F13</f>
        <v>32556160</v>
      </c>
      <c r="E16" s="296" t="str">
        <f t="shared" si="0"/>
        <v xml:space="preserve"> </v>
      </c>
    </row>
    <row r="17" spans="1:5" x14ac:dyDescent="0.15">
      <c r="A17" s="253" t="s">
        <v>111</v>
      </c>
      <c r="B17" s="295">
        <f>'ESTRUCTURA FINANCIERA'!B14</f>
        <v>472224220</v>
      </c>
      <c r="C17" s="295">
        <f>'ESTRUCTURA FINANCIERA'!D14</f>
        <v>233832409</v>
      </c>
      <c r="D17" s="295">
        <f>'ESTRUCTURA FINANCIERA'!F14</f>
        <v>128742576</v>
      </c>
      <c r="E17" s="296">
        <f t="shared" si="0"/>
        <v>1.0194985888376149</v>
      </c>
    </row>
    <row r="18" spans="1:5" x14ac:dyDescent="0.15">
      <c r="A18" s="253" t="s">
        <v>112</v>
      </c>
      <c r="B18" s="295">
        <f>'ESTRUCTURA FINANCIERA'!B16</f>
        <v>0</v>
      </c>
      <c r="C18" s="295">
        <f>'ESTRUCTURA FINANCIERA'!D16</f>
        <v>0</v>
      </c>
      <c r="D18" s="295">
        <f>'ESTRUCTURA FINANCIERA'!F16</f>
        <v>0</v>
      </c>
      <c r="E18" s="296" t="str">
        <f t="shared" si="0"/>
        <v xml:space="preserve"> </v>
      </c>
    </row>
    <row r="19" spans="1:5" x14ac:dyDescent="0.15">
      <c r="A19" s="253" t="s">
        <v>65</v>
      </c>
      <c r="B19" s="295">
        <f>SUM(B20:B25)</f>
        <v>11275067827</v>
      </c>
      <c r="C19" s="295">
        <f>SUM(C20:C25)</f>
        <v>6862777984</v>
      </c>
      <c r="D19" s="295">
        <f>SUM(D20:D25)</f>
        <v>9873890872</v>
      </c>
      <c r="E19" s="296">
        <f t="shared" si="0"/>
        <v>0.64293058194318531</v>
      </c>
    </row>
    <row r="20" spans="1:5" x14ac:dyDescent="0.15">
      <c r="A20" s="253" t="s">
        <v>66</v>
      </c>
      <c r="B20" s="295">
        <f>'ESTRUCTURA FINANCIERA'!B33</f>
        <v>11275067827</v>
      </c>
      <c r="C20" s="295">
        <f>'ESTRUCTURA FINANCIERA'!D33</f>
        <v>6862777984</v>
      </c>
      <c r="D20" s="295">
        <f>'ESTRUCTURA FINANCIERA'!F33</f>
        <v>9873890872</v>
      </c>
      <c r="E20" s="296">
        <f t="shared" ref="E20:E25" si="1">IF(C20=0," ",((B20-C20)/C20))</f>
        <v>0.64293058194318531</v>
      </c>
    </row>
    <row r="21" spans="1:5" x14ac:dyDescent="0.15">
      <c r="A21" s="253" t="s">
        <v>67</v>
      </c>
      <c r="B21" s="295">
        <f>'ESTRUCTURA FINANCIERA'!B34</f>
        <v>0</v>
      </c>
      <c r="C21" s="295">
        <f>'ESTRUCTURA FINANCIERA'!D34</f>
        <v>0</v>
      </c>
      <c r="D21" s="295">
        <f>'ESTRUCTURA FINANCIERA'!F34</f>
        <v>0</v>
      </c>
      <c r="E21" s="296" t="str">
        <f t="shared" si="1"/>
        <v xml:space="preserve"> </v>
      </c>
    </row>
    <row r="22" spans="1:5" x14ac:dyDescent="0.15">
      <c r="A22" s="253" t="s">
        <v>68</v>
      </c>
      <c r="B22" s="295">
        <f>'ESTRUCTURA FINANCIERA'!B35</f>
        <v>0</v>
      </c>
      <c r="C22" s="295">
        <f>'ESTRUCTURA FINANCIERA'!D35</f>
        <v>0</v>
      </c>
      <c r="D22" s="295">
        <f>'ESTRUCTURA FINANCIERA'!F35</f>
        <v>0</v>
      </c>
      <c r="E22" s="296" t="str">
        <f t="shared" si="1"/>
        <v xml:space="preserve"> </v>
      </c>
    </row>
    <row r="23" spans="1:5" x14ac:dyDescent="0.15">
      <c r="A23" s="253" t="s">
        <v>69</v>
      </c>
      <c r="B23" s="295">
        <f>'ESTRUCTURA FINANCIERA'!B36</f>
        <v>0</v>
      </c>
      <c r="C23" s="295">
        <f>'ESTRUCTURA FINANCIERA'!D36</f>
        <v>0</v>
      </c>
      <c r="D23" s="295">
        <f>'ESTRUCTURA FINANCIERA'!F36</f>
        <v>0</v>
      </c>
      <c r="E23" s="296" t="str">
        <f t="shared" si="1"/>
        <v xml:space="preserve"> </v>
      </c>
    </row>
    <row r="24" spans="1:5" x14ac:dyDescent="0.15">
      <c r="A24" s="253" t="s">
        <v>114</v>
      </c>
      <c r="B24" s="295">
        <f>'ESTRUCTURA FINANCIERA'!B37</f>
        <v>0</v>
      </c>
      <c r="C24" s="295">
        <f>'ESTRUCTURA FINANCIERA'!D37</f>
        <v>0</v>
      </c>
      <c r="D24" s="295">
        <f>'ESTRUCTURA FINANCIERA'!F37</f>
        <v>0</v>
      </c>
      <c r="E24" s="296" t="str">
        <f t="shared" si="1"/>
        <v xml:space="preserve"> </v>
      </c>
    </row>
    <row r="25" spans="1:5" x14ac:dyDescent="0.15">
      <c r="A25" s="253" t="s">
        <v>70</v>
      </c>
      <c r="B25" s="295">
        <f>'ESTRUCTURA FINANCIERA'!B38</f>
        <v>0</v>
      </c>
      <c r="C25" s="295">
        <f>'ESTRUCTURA FINANCIERA'!D38</f>
        <v>0</v>
      </c>
      <c r="D25" s="295">
        <f>'ESTRUCTURA FINANCIERA'!F38</f>
        <v>0</v>
      </c>
      <c r="E25" s="296" t="str">
        <f t="shared" si="1"/>
        <v xml:space="preserve"> </v>
      </c>
    </row>
    <row r="26" spans="1:5" hidden="1" x14ac:dyDescent="0.15">
      <c r="A26" s="253"/>
      <c r="B26" s="295"/>
      <c r="C26" s="295"/>
      <c r="D26" s="295"/>
      <c r="E26" s="296"/>
    </row>
    <row r="27" spans="1:5" x14ac:dyDescent="0.15">
      <c r="A27" s="253" t="s">
        <v>71</v>
      </c>
      <c r="B27" s="300">
        <f>B12-B30</f>
        <v>28185348827</v>
      </c>
      <c r="C27" s="300">
        <f>C12-C30</f>
        <v>24277304266</v>
      </c>
      <c r="D27" s="300">
        <f>D12-D30</f>
        <v>17154026830</v>
      </c>
      <c r="E27" s="296">
        <f>IF(C27=0," ",((B27-C27)/C27))</f>
        <v>0.16097522682834098</v>
      </c>
    </row>
    <row r="28" spans="1:5" x14ac:dyDescent="0.15">
      <c r="A28" s="253" t="s">
        <v>72</v>
      </c>
      <c r="B28" s="295">
        <f>IF('ESTRUCTURA ECONOMICA'!B10=0," ",(B27/'ESTRUCTURA ECONOMICA'!B10))</f>
        <v>3.8626149174529116</v>
      </c>
      <c r="C28" s="295">
        <f>IF('ESTRUCTURA ECONOMICA'!E10=0," ",(C27/'ESTRUCTURA ECONOMICA'!E10))</f>
        <v>4.0088619574138979</v>
      </c>
      <c r="D28" s="295">
        <f>IF('ESTRUCTURA ECONOMICA'!G10=0," ",(D27/'ESTRUCTURA ECONOMICA'!G10))</f>
        <v>3.9365429963176193</v>
      </c>
      <c r="E28" s="296"/>
    </row>
    <row r="29" spans="1:5" x14ac:dyDescent="0.15">
      <c r="B29" s="63"/>
      <c r="C29" s="63"/>
      <c r="D29" s="63"/>
      <c r="E29" s="63"/>
    </row>
    <row r="30" spans="1:5" x14ac:dyDescent="0.15">
      <c r="A30" s="254" t="s">
        <v>73</v>
      </c>
      <c r="B30" s="297">
        <f>B31+B32-B33-B34</f>
        <v>-20892591494</v>
      </c>
      <c r="C30" s="297">
        <f>C31+C32-C33-C34</f>
        <v>-18426718835</v>
      </c>
      <c r="D30" s="297">
        <f>D31+D32-D33-D34</f>
        <v>-13274395109</v>
      </c>
      <c r="E30" s="298">
        <f>IF(C30=0," ",((B30-C30)/C30))</f>
        <v>0.13382049626308307</v>
      </c>
    </row>
    <row r="31" spans="1:5" x14ac:dyDescent="0.15">
      <c r="A31" s="253" t="s">
        <v>107</v>
      </c>
      <c r="B31" s="295">
        <f>'ESTRUCTURA FINANCIERA'!B10</f>
        <v>15121187075</v>
      </c>
      <c r="C31" s="295">
        <f>'ESTRUCTURA FINANCIERA'!D10</f>
        <v>12350077221</v>
      </c>
      <c r="D31" s="295">
        <f>'ESTRUCTURA FINANCIERA'!F10</f>
        <v>14608256735</v>
      </c>
      <c r="E31" s="296">
        <f>IF(C31=0," ",((B31-C31)/C31))</f>
        <v>0.22437996171295357</v>
      </c>
    </row>
    <row r="32" spans="1:5" x14ac:dyDescent="0.15">
      <c r="A32" s="253" t="s">
        <v>74</v>
      </c>
      <c r="B32" s="295">
        <f>'ESTRUCTURA FINANCIERA'!B11</f>
        <v>13694398052</v>
      </c>
      <c r="C32" s="295">
        <f>'ESTRUCTURA FINANCIERA'!D11</f>
        <v>11492210312</v>
      </c>
      <c r="D32" s="295">
        <f>'ESTRUCTURA FINANCIERA'!F11</f>
        <v>8777835122</v>
      </c>
      <c r="E32" s="296">
        <f>IF(C32=0," ",((B32-C32)/C32))</f>
        <v>0.19162438558059691</v>
      </c>
    </row>
    <row r="33" spans="1:5" x14ac:dyDescent="0.15">
      <c r="A33" s="253" t="s">
        <v>75</v>
      </c>
      <c r="B33" s="295">
        <f>'ESTRUCTURA FINANCIERA'!B31</f>
        <v>38558604541</v>
      </c>
      <c r="C33" s="295">
        <f>'ESTRUCTURA FINANCIERA'!D31</f>
        <v>32056991117</v>
      </c>
      <c r="D33" s="295">
        <f>'ESTRUCTURA FINANCIERA'!F31</f>
        <v>27982022945</v>
      </c>
      <c r="E33" s="296">
        <f>IF(C33=0," ",((B33-C33)/C33))</f>
        <v>0.20281421298308183</v>
      </c>
    </row>
    <row r="34" spans="1:5" x14ac:dyDescent="0.15">
      <c r="A34" s="253" t="s">
        <v>76</v>
      </c>
      <c r="B34" s="295">
        <f>'ESTRUCTURA FINANCIERA'!B32</f>
        <v>11149572080</v>
      </c>
      <c r="C34" s="295">
        <f>'ESTRUCTURA FINANCIERA'!D32</f>
        <v>10212015251</v>
      </c>
      <c r="D34" s="295">
        <f>'ESTRUCTURA FINANCIERA'!F32</f>
        <v>8678464021</v>
      </c>
      <c r="E34" s="296">
        <f>IF(C34=0," ",((B34-C34)/C34))</f>
        <v>9.1809188094209987E-2</v>
      </c>
    </row>
    <row r="35" spans="1:5" ht="13" customHeight="1" x14ac:dyDescent="0.15">
      <c r="A35" s="310" t="s">
        <v>104</v>
      </c>
      <c r="B35" s="310"/>
      <c r="C35" s="310"/>
      <c r="D35" s="310"/>
      <c r="E35" s="310"/>
    </row>
    <row r="38" spans="1:5" ht="14.25" customHeight="1" x14ac:dyDescent="0.15"/>
    <row r="40" spans="1:5" ht="9" customHeight="1" x14ac:dyDescent="0.15"/>
    <row r="41" spans="1:5" ht="8.25" customHeight="1" x14ac:dyDescent="0.15"/>
    <row r="43" spans="1:5" ht="9.75" customHeight="1" x14ac:dyDescent="0.15"/>
    <row r="44" spans="1:5" ht="10.5" customHeight="1" x14ac:dyDescent="0.15"/>
    <row r="46" spans="1:5" ht="10.5" customHeight="1" x14ac:dyDescent="0.15"/>
    <row r="47" spans="1:5" ht="9.75" customHeight="1" x14ac:dyDescent="0.15"/>
    <row r="49" ht="9" customHeight="1" x14ac:dyDescent="0.15"/>
  </sheetData>
  <mergeCells count="1">
    <mergeCell ref="A35:E35"/>
  </mergeCells>
  <phoneticPr fontId="16" type="noConversion"/>
  <printOptions horizontalCentered="1" gridLinesSet="0"/>
  <pageMargins left="0.59055118110236227" right="0.59055118110236227" top="0.39370078740157483" bottom="0.39370078740157483" header="0.51181102362204722" footer="0.51181102362204722"/>
  <pageSetup orientation="portrait" blackAndWhite="1" verticalDpi="14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pageSetUpPr fitToPage="1"/>
  </sheetPr>
  <dimension ref="A1:AH31"/>
  <sheetViews>
    <sheetView showGridLines="0" zoomScale="120" zoomScaleNormal="120" workbookViewId="0">
      <selection activeCell="A3" sqref="A3:G16"/>
    </sheetView>
  </sheetViews>
  <sheetFormatPr baseColWidth="10" defaultColWidth="11.5" defaultRowHeight="13" x14ac:dyDescent="0.15"/>
  <cols>
    <col min="1" max="1" width="57.1640625" customWidth="1"/>
    <col min="2" max="2" width="24.5" customWidth="1"/>
    <col min="3" max="3" width="6" bestFit="1" customWidth="1"/>
    <col min="4" max="4" width="23.5" customWidth="1"/>
    <col min="5" max="5" width="5.83203125" customWidth="1"/>
    <col min="6" max="6" width="25" customWidth="1"/>
    <col min="7" max="7" width="6" bestFit="1" customWidth="1"/>
    <col min="8" max="33" width="0" hidden="1" customWidth="1"/>
  </cols>
  <sheetData>
    <row r="1" spans="1:7" ht="12.75" customHeight="1" x14ac:dyDescent="0.15">
      <c r="A1" s="141" t="s">
        <v>249</v>
      </c>
      <c r="F1" s="141"/>
      <c r="G1" s="141"/>
    </row>
    <row r="2" spans="1:7" ht="14" thickBot="1" x14ac:dyDescent="0.2">
      <c r="E2" s="141"/>
      <c r="F2" s="141"/>
      <c r="G2" s="141"/>
    </row>
    <row r="3" spans="1:7" ht="21" thickBot="1" x14ac:dyDescent="0.25">
      <c r="A3" s="11" t="s">
        <v>77</v>
      </c>
      <c r="B3" s="13"/>
      <c r="C3" s="3"/>
      <c r="D3" s="3"/>
      <c r="E3" s="3"/>
      <c r="F3" s="3"/>
      <c r="G3" s="6"/>
    </row>
    <row r="4" spans="1:7" ht="14" thickBot="1" x14ac:dyDescent="0.2">
      <c r="A4" s="1" t="str">
        <f>+'CAPITAL DE TRABAJO'!A4</f>
        <v>(Expresado en pesos Dominicanos DOP)</v>
      </c>
      <c r="B4" s="1"/>
      <c r="C4" s="1"/>
      <c r="D4" s="1"/>
      <c r="E4" s="1"/>
      <c r="F4" s="1"/>
    </row>
    <row r="5" spans="1:7" ht="16" x14ac:dyDescent="0.2">
      <c r="A5" s="247" t="s">
        <v>78</v>
      </c>
      <c r="B5" s="248"/>
      <c r="C5" s="248"/>
      <c r="D5" s="248"/>
      <c r="E5" s="248"/>
      <c r="F5" s="248"/>
      <c r="G5" s="9"/>
    </row>
    <row r="6" spans="1:7" x14ac:dyDescent="0.15">
      <c r="A6" s="230" t="s">
        <v>4</v>
      </c>
      <c r="B6" s="318">
        <f>'ESTRUCTURA ECONOMICA'!B8</f>
        <v>45657</v>
      </c>
      <c r="C6" s="319"/>
      <c r="D6" s="318">
        <f>'ESTRUCTURA ECONOMICA'!E8</f>
        <v>45291</v>
      </c>
      <c r="E6" s="319"/>
      <c r="F6" s="318">
        <f>'ESTRUCTURA ECONOMICA'!G8</f>
        <v>44926</v>
      </c>
      <c r="G6" s="319"/>
    </row>
    <row r="7" spans="1:7" x14ac:dyDescent="0.15">
      <c r="A7" s="235" t="s">
        <v>121</v>
      </c>
      <c r="B7" s="320">
        <f>('ESTRUCTURA FINANCIERA'!B43+'ESTRUCTURA FINANCIERA'!B44+'ESTRUCTURA FINANCIERA'!B31+'ESTRUCTURA FINANCIERA'!B32)/'ESTRUCTURA FINANCIERA'!B56</f>
        <v>10.578680087758995</v>
      </c>
      <c r="C7" s="321"/>
      <c r="D7" s="320">
        <f>('ESTRUCTURA FINANCIERA'!D43+'ESTRUCTURA FINANCIERA'!D44+'ESTRUCTURA FINANCIERA'!D31+'ESTRUCTURA FINANCIERA'!D32)/'ESTRUCTURA FINANCIERA'!D56</f>
        <v>10.343061172048575</v>
      </c>
      <c r="E7" s="321"/>
      <c r="F7" s="320">
        <f>('ESTRUCTURA FINANCIERA'!F48+'ESTRUCTURA FINANCIERA'!F31+'ESTRUCTURA FINANCIERA'!F32)/'ESTRUCTURA FINANCIERA'!F56</f>
        <v>13.282769135809172</v>
      </c>
      <c r="G7" s="321"/>
    </row>
    <row r="8" spans="1:7" x14ac:dyDescent="0.15">
      <c r="A8" s="235" t="s">
        <v>122</v>
      </c>
      <c r="B8" s="320">
        <f>('ESTRUCTURA FINANCIERA'!B43+'ESTRUCTURA FINANCIERA'!B44+'ESTRUCTURA FINANCIERA'!B31+'ESTRUCTURA FINANCIERA'!B32)/('ESTRUCTURA FINANCIERA'!B56-'ESTRUCTURA FINANCIERA'!B55)</f>
        <v>10.578680087758995</v>
      </c>
      <c r="C8" s="321"/>
      <c r="D8" s="320">
        <f>('ESTRUCTURA FINANCIERA'!D43+'ESTRUCTURA FINANCIERA'!D44+'ESTRUCTURA FINANCIERA'!D31+'ESTRUCTURA FINANCIERA'!D32)/('ESTRUCTURA FINANCIERA'!D56-'ESTRUCTURA FINANCIERA'!D55)</f>
        <v>10.343061172048575</v>
      </c>
      <c r="E8" s="321"/>
      <c r="F8" s="320">
        <f>('ESTRUCTURA FINANCIERA'!F48+'ESTRUCTURA FINANCIERA'!F31+'ESTRUCTURA FINANCIERA'!F32)/('ESTRUCTURA FINANCIERA'!F56-'ESTRUCTURA FINANCIERA'!F55)</f>
        <v>13.282769135809172</v>
      </c>
      <c r="G8" s="321"/>
    </row>
    <row r="9" spans="1:7" x14ac:dyDescent="0.15">
      <c r="A9" s="235" t="s">
        <v>120</v>
      </c>
      <c r="B9" s="322">
        <f>'CAPITAL DE TRABAJO'!B10/('ESTRUCTURA FINANCIERA'!B29+'CAPITAL DE TRABAJO'!B27)</f>
        <v>0.28490835374529039</v>
      </c>
      <c r="C9" s="323"/>
      <c r="D9" s="322">
        <f>'CAPITAL DE TRABAJO'!C10/('ESTRUCTURA FINANCIERA'!D29+'CAPITAL DE TRABAJO'!C27)</f>
        <v>0.27072331976998892</v>
      </c>
      <c r="E9" s="323"/>
      <c r="F9" s="322">
        <f>'CAPITAL DE TRABAJO'!D10/('ESTRUCTURA FINANCIERA'!F29+'CAPITAL DE TRABAJO'!D27)</f>
        <v>0.26296903590640175</v>
      </c>
      <c r="G9" s="323"/>
    </row>
    <row r="10" spans="1:7" hidden="1" x14ac:dyDescent="0.15">
      <c r="A10" s="137"/>
      <c r="B10" s="10"/>
      <c r="C10" s="10"/>
      <c r="D10" s="10"/>
      <c r="E10" s="10"/>
      <c r="F10" s="10"/>
      <c r="G10" s="10"/>
    </row>
    <row r="11" spans="1:7" ht="16" x14ac:dyDescent="0.2">
      <c r="A11" s="315" t="s">
        <v>79</v>
      </c>
      <c r="B11" s="316"/>
      <c r="C11" s="316"/>
      <c r="D11" s="316"/>
      <c r="E11" s="316"/>
      <c r="F11" s="316"/>
      <c r="G11" s="317"/>
    </row>
    <row r="12" spans="1:7" x14ac:dyDescent="0.15">
      <c r="A12" s="276" t="s">
        <v>284</v>
      </c>
      <c r="B12" s="311">
        <f>B6</f>
        <v>45657</v>
      </c>
      <c r="C12" s="312"/>
      <c r="D12" s="313">
        <f>D6</f>
        <v>45291</v>
      </c>
      <c r="E12" s="314"/>
      <c r="F12" s="313">
        <f>F6</f>
        <v>44926</v>
      </c>
      <c r="G12" s="314"/>
    </row>
    <row r="13" spans="1:7" x14ac:dyDescent="0.15">
      <c r="A13" s="235" t="s">
        <v>266</v>
      </c>
      <c r="B13" s="226">
        <f>+'ESTRUCTURA FINANCIERA'!B30</f>
        <v>69307315746</v>
      </c>
      <c r="C13" s="275">
        <f>(B13/'ESTRUCTURA FINANCIERA'!B$30)</f>
        <v>1</v>
      </c>
      <c r="D13" s="226">
        <f>+'ESTRUCTURA FINANCIERA'!D30</f>
        <v>55972182010</v>
      </c>
      <c r="E13" s="275">
        <f>(D13/'ESTRUCTURA FINANCIERA'!D$30)</f>
        <v>1</v>
      </c>
      <c r="F13" s="226">
        <f>+'ESTRUCTURA FINANCIERA'!F30</f>
        <v>51270616957</v>
      </c>
      <c r="G13" s="275">
        <f>(F13/'ESTRUCTURA FINANCIERA'!F$30)</f>
        <v>1</v>
      </c>
    </row>
    <row r="14" spans="1:7" x14ac:dyDescent="0.15">
      <c r="A14" s="235" t="s">
        <v>80</v>
      </c>
      <c r="B14" s="226">
        <f>'ESTRUCTURA FINANCIERA'!B49</f>
        <v>64608414162</v>
      </c>
      <c r="C14" s="275">
        <f>(B14/'ESTRUCTURA FINANCIERA'!B30)</f>
        <v>0.93220193952943287</v>
      </c>
      <c r="D14" s="226">
        <f>'ESTRUCTURA FINANCIERA'!D49</f>
        <v>51885480243</v>
      </c>
      <c r="E14" s="275">
        <f>(D14/'ESTRUCTURA FINANCIERA'!D30)</f>
        <v>0.92698691349445927</v>
      </c>
      <c r="F14" s="226">
        <f>'ESTRUCTURA FINANCIERA'!F49</f>
        <v>48372248602</v>
      </c>
      <c r="G14" s="275">
        <f>(F14/'ESTRUCTURA FINANCIERA'!F30)</f>
        <v>0.94346921244519399</v>
      </c>
    </row>
    <row r="15" spans="1:7" x14ac:dyDescent="0.15">
      <c r="A15" s="234" t="s">
        <v>81</v>
      </c>
      <c r="B15" s="277">
        <f t="shared" ref="B15:G15" si="0">B13-B14</f>
        <v>4698901584</v>
      </c>
      <c r="C15" s="278">
        <f>C13-C14</f>
        <v>6.7798060470567134E-2</v>
      </c>
      <c r="D15" s="277">
        <f t="shared" si="0"/>
        <v>4086701767</v>
      </c>
      <c r="E15" s="278">
        <f>E13-E14</f>
        <v>7.3013086505540725E-2</v>
      </c>
      <c r="F15" s="277">
        <f t="shared" si="0"/>
        <v>2898368355</v>
      </c>
      <c r="G15" s="278">
        <f t="shared" si="0"/>
        <v>5.6530787554806006E-2</v>
      </c>
    </row>
    <row r="16" spans="1:7" x14ac:dyDescent="0.15">
      <c r="A16" s="235" t="s">
        <v>271</v>
      </c>
      <c r="B16" s="146" t="str">
        <f>IF(B15&lt;0,"GANANCIA POSICION MONETARIA","PERDIDA POSICION MONETARIA")</f>
        <v>PERDIDA POSICION MONETARIA</v>
      </c>
      <c r="C16" s="135"/>
      <c r="D16" s="146" t="str">
        <f>IF(D15&lt;0,"GANANCIA POSICION MONETARIA","PERDIDA POSICION MONETARIA")</f>
        <v>PERDIDA POSICION MONETARIA</v>
      </c>
      <c r="E16" s="135"/>
      <c r="F16" s="146" t="str">
        <f>IF(F15&lt;0,"GANANCIA POSICION MONETARIA","PERDIDA POSICION MONETARIA")</f>
        <v>PERDIDA POSICION MONETARIA</v>
      </c>
      <c r="G16" s="249"/>
    </row>
    <row r="17" spans="1:34" x14ac:dyDescent="0.15">
      <c r="A17" s="138" t="s">
        <v>82</v>
      </c>
      <c r="B17" s="15"/>
      <c r="C17" s="15"/>
      <c r="D17" s="15"/>
      <c r="E17" s="15"/>
      <c r="F17" s="15"/>
      <c r="G17" s="15"/>
    </row>
    <row r="18" spans="1:34" hidden="1" x14ac:dyDescent="0.15">
      <c r="A18" s="22"/>
      <c r="C18" s="133"/>
      <c r="E18" s="133"/>
      <c r="G18" s="133"/>
    </row>
    <row r="19" spans="1:34" ht="14" hidden="1" thickBot="1" x14ac:dyDescent="0.2">
      <c r="A19" s="21"/>
      <c r="B19" s="7"/>
      <c r="C19" s="7"/>
      <c r="D19" s="7"/>
      <c r="E19" s="7"/>
      <c r="F19" s="7"/>
      <c r="G19" s="2"/>
    </row>
    <row r="20" spans="1:34" hidden="1" x14ac:dyDescent="0.15"/>
    <row r="21" spans="1:34" hidden="1" x14ac:dyDescent="0.15">
      <c r="B21" s="133"/>
      <c r="C21" s="133"/>
      <c r="D21" s="133"/>
      <c r="E21" s="133"/>
      <c r="F21" s="133"/>
      <c r="G21" s="133"/>
      <c r="I21" s="20" t="e">
        <f>#REF!</f>
        <v>#REF!</v>
      </c>
    </row>
    <row r="22" spans="1:34" hidden="1" x14ac:dyDescent="0.15"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</row>
    <row r="23" spans="1:34" hidden="1" x14ac:dyDescent="0.15"/>
    <row r="24" spans="1:34" s="10" customFormat="1" ht="9.75" hidden="1" customHeight="1" x14ac:dyDescent="0.15">
      <c r="A24"/>
      <c r="B24"/>
      <c r="C24"/>
      <c r="D24"/>
      <c r="E24"/>
      <c r="F24"/>
      <c r="G24"/>
    </row>
    <row r="25" spans="1:34" hidden="1" x14ac:dyDescent="0.15"/>
    <row r="26" spans="1:34" hidden="1" x14ac:dyDescent="0.15"/>
    <row r="27" spans="1:34" hidden="1" x14ac:dyDescent="0.15"/>
    <row r="28" spans="1:34" hidden="1" x14ac:dyDescent="0.15"/>
    <row r="29" spans="1:34" hidden="1" x14ac:dyDescent="0.15"/>
    <row r="31" spans="1:34" x14ac:dyDescent="0.15">
      <c r="B31" s="281"/>
    </row>
  </sheetData>
  <mergeCells count="16">
    <mergeCell ref="B12:C12"/>
    <mergeCell ref="D12:E12"/>
    <mergeCell ref="F12:G12"/>
    <mergeCell ref="A11:G11"/>
    <mergeCell ref="B6:C6"/>
    <mergeCell ref="D6:E6"/>
    <mergeCell ref="F6:G6"/>
    <mergeCell ref="B7:C7"/>
    <mergeCell ref="D7:E7"/>
    <mergeCell ref="D9:E9"/>
    <mergeCell ref="F7:G7"/>
    <mergeCell ref="F9:G9"/>
    <mergeCell ref="F8:G8"/>
    <mergeCell ref="B9:C9"/>
    <mergeCell ref="D8:E8"/>
    <mergeCell ref="B8:C8"/>
  </mergeCells>
  <phoneticPr fontId="16" type="noConversion"/>
  <printOptions horizontalCentered="1" gridLinesSet="0"/>
  <pageMargins left="0.78740157480314965" right="0.78740157480314965" top="0.59055118110236227" bottom="0.59055118110236227" header="0.51181102362204722" footer="0.51181102362204722"/>
  <pageSetup orientation="portrait" blackAndWhite="1" verticalDpi="14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pageSetUpPr fitToPage="1"/>
  </sheetPr>
  <dimension ref="A1:AA42"/>
  <sheetViews>
    <sheetView showGridLines="0" topLeftCell="A3" zoomScale="130" zoomScaleNormal="130" workbookViewId="0">
      <selection activeCell="A23" sqref="A23"/>
    </sheetView>
  </sheetViews>
  <sheetFormatPr baseColWidth="10" defaultColWidth="11.5" defaultRowHeight="13" x14ac:dyDescent="0.15"/>
  <cols>
    <col min="1" max="1" width="58.5" customWidth="1"/>
    <col min="2" max="2" width="17.33203125" bestFit="1" customWidth="1"/>
    <col min="3" max="3" width="5.6640625" style="14" bestFit="1" customWidth="1"/>
    <col min="4" max="4" width="17.33203125" bestFit="1" customWidth="1"/>
    <col min="5" max="5" width="5.6640625" style="14" bestFit="1" customWidth="1"/>
    <col min="6" max="6" width="17.33203125" bestFit="1" customWidth="1"/>
    <col min="7" max="7" width="7.5" style="14" customWidth="1"/>
    <col min="8" max="8" width="11.5" hidden="1" customWidth="1"/>
    <col min="9" max="9" width="6.5" hidden="1" customWidth="1"/>
    <col min="10" max="10" width="12.83203125" hidden="1" customWidth="1"/>
    <col min="11" max="12" width="2" hidden="1" customWidth="1"/>
    <col min="13" max="13" width="5.5" hidden="1" customWidth="1"/>
    <col min="14" max="14" width="11.5" hidden="1" customWidth="1"/>
    <col min="15" max="16" width="2" hidden="1" customWidth="1"/>
    <col min="17" max="17" width="4.5" hidden="1" customWidth="1"/>
    <col min="18" max="18" width="11.5" hidden="1" customWidth="1"/>
    <col min="19" max="20" width="2" hidden="1" customWidth="1"/>
    <col min="21" max="23" width="11.5" hidden="1" customWidth="1"/>
    <col min="24" max="32" width="11.5" customWidth="1"/>
  </cols>
  <sheetData>
    <row r="1" spans="1:22" ht="12.75" customHeight="1" x14ac:dyDescent="0.15">
      <c r="A1" s="141" t="s">
        <v>250</v>
      </c>
      <c r="F1" s="141"/>
      <c r="G1" s="141"/>
    </row>
    <row r="2" spans="1:22" ht="14" thickBot="1" x14ac:dyDescent="0.2">
      <c r="E2" s="141"/>
      <c r="F2" s="141"/>
      <c r="G2" s="141"/>
    </row>
    <row r="3" spans="1:22" ht="22" thickTop="1" thickBot="1" x14ac:dyDescent="0.25">
      <c r="A3" s="163" t="s">
        <v>83</v>
      </c>
      <c r="B3" s="164"/>
      <c r="C3" s="164"/>
      <c r="D3" s="164"/>
      <c r="E3" s="164"/>
      <c r="F3" s="164"/>
      <c r="G3" s="165"/>
    </row>
    <row r="4" spans="1:22" ht="15" thickTop="1" thickBot="1" x14ac:dyDescent="0.2">
      <c r="A4" s="1" t="str">
        <f>+'ANALISIS SOLVENCIA Y MONETARIO'!A4</f>
        <v>(Expresado en pesos Dominicanos DOP)</v>
      </c>
      <c r="B4" s="1"/>
      <c r="C4" s="1"/>
      <c r="D4" s="1"/>
      <c r="E4" s="1"/>
      <c r="F4" s="1"/>
    </row>
    <row r="5" spans="1:22" ht="17" thickBot="1" x14ac:dyDescent="0.25">
      <c r="A5" s="12" t="s">
        <v>83</v>
      </c>
      <c r="B5" s="3"/>
      <c r="C5" s="3"/>
      <c r="D5" s="3"/>
      <c r="E5" s="3"/>
      <c r="F5" s="3"/>
      <c r="G5" s="6"/>
    </row>
    <row r="7" spans="1:22" x14ac:dyDescent="0.15">
      <c r="A7" s="239" t="s">
        <v>4</v>
      </c>
      <c r="B7" s="240">
        <f>'ANALISIS SOLVENCIA Y MONETARIO'!B6</f>
        <v>45657</v>
      </c>
      <c r="C7" s="241"/>
      <c r="D7" s="240">
        <f>'ANALISIS SOLVENCIA Y MONETARIO'!D6</f>
        <v>45291</v>
      </c>
      <c r="E7" s="241"/>
      <c r="F7" s="240">
        <f>'CAPITAL DE TRABAJO'!D6</f>
        <v>44926</v>
      </c>
      <c r="G7" s="241"/>
    </row>
    <row r="8" spans="1:22" x14ac:dyDescent="0.15">
      <c r="A8" s="242" t="s">
        <v>123</v>
      </c>
      <c r="B8" s="324">
        <f>IF(L16=0,I15,I16)</f>
        <v>0.15537880410280772</v>
      </c>
      <c r="C8" s="325"/>
      <c r="D8" s="324">
        <f>IF(P16=0,M15,M16)</f>
        <v>0.19383683575854016</v>
      </c>
      <c r="E8" s="325"/>
      <c r="F8" s="324">
        <f>IF(T16=0,Q15,Q16)</f>
        <v>0.18404697321503843</v>
      </c>
      <c r="G8" s="325"/>
    </row>
    <row r="9" spans="1:22" x14ac:dyDescent="0.15">
      <c r="A9" s="242" t="s">
        <v>124</v>
      </c>
      <c r="B9" s="324">
        <f>IF(L18=0,I17,I18)</f>
        <v>0.15537880410280772</v>
      </c>
      <c r="C9" s="325"/>
      <c r="D9" s="324">
        <f>IF(P18=0,M17,M18)</f>
        <v>0.19383683575854016</v>
      </c>
      <c r="E9" s="325"/>
      <c r="F9" s="324">
        <f>IF(T18=0,Q17,Q18)</f>
        <v>0.18404697321503843</v>
      </c>
      <c r="G9" s="325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</row>
    <row r="10" spans="1:22" x14ac:dyDescent="0.15">
      <c r="A10" s="242"/>
      <c r="B10" s="313"/>
      <c r="C10" s="314"/>
      <c r="D10" s="313"/>
      <c r="E10" s="314"/>
      <c r="F10" s="313"/>
      <c r="G10" s="314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</row>
    <row r="11" spans="1:22" x14ac:dyDescent="0.15">
      <c r="A11" s="131" t="s">
        <v>278</v>
      </c>
      <c r="B11" s="313">
        <f>B20</f>
        <v>45657</v>
      </c>
      <c r="C11" s="314"/>
      <c r="D11" s="313">
        <f>D20</f>
        <v>45291</v>
      </c>
      <c r="E11" s="314"/>
      <c r="F11" s="313">
        <f>F20</f>
        <v>44926</v>
      </c>
      <c r="G11" s="314"/>
    </row>
    <row r="12" spans="1:22" x14ac:dyDescent="0.15">
      <c r="A12" s="243" t="s">
        <v>272</v>
      </c>
      <c r="B12" s="224">
        <f>B21</f>
        <v>682548271</v>
      </c>
      <c r="C12" s="269">
        <f>SUM(C13:C16)</f>
        <v>1</v>
      </c>
      <c r="D12" s="224">
        <f>D21</f>
        <v>676981945</v>
      </c>
      <c r="E12" s="269">
        <f>SUM(E13:E16)</f>
        <v>1</v>
      </c>
      <c r="F12" s="224">
        <f>F21</f>
        <v>533435923</v>
      </c>
      <c r="G12" s="269">
        <f>SUM(G13:G16)</f>
        <v>1</v>
      </c>
      <c r="H12" s="1"/>
    </row>
    <row r="13" spans="1:22" x14ac:dyDescent="0.15">
      <c r="A13" s="242" t="s">
        <v>47</v>
      </c>
      <c r="B13" s="157">
        <f>'ESTRUCTURA ECONOMICA'!B25</f>
        <v>0</v>
      </c>
      <c r="C13" s="270">
        <f>(B13/'ESTRUCTURA ECONOMICA'!B29)</f>
        <v>0</v>
      </c>
      <c r="D13" s="158">
        <f>'ESTRUCTURA ECONOMICA'!E25</f>
        <v>0</v>
      </c>
      <c r="E13" s="270">
        <f>(D13/'ESTRUCTURA ECONOMICA'!E29)</f>
        <v>0</v>
      </c>
      <c r="F13" s="158">
        <f>'ESTRUCTURA ECONOMICA'!G25</f>
        <v>0</v>
      </c>
      <c r="G13" s="270">
        <f>(F13/'ESTRUCTURA ECONOMICA'!G29)</f>
        <v>0</v>
      </c>
    </row>
    <row r="14" spans="1:22" x14ac:dyDescent="0.15">
      <c r="A14" s="242" t="s">
        <v>87</v>
      </c>
      <c r="B14" s="157">
        <f>'ESTRUCTURA ECONOMICA'!B24</f>
        <v>0</v>
      </c>
      <c r="C14" s="270">
        <f>(B14/'ESTRUCTURA ECONOMICA'!B29)</f>
        <v>0</v>
      </c>
      <c r="D14" s="158">
        <f>'ESTRUCTURA ECONOMICA'!E24</f>
        <v>0</v>
      </c>
      <c r="E14" s="270">
        <f>(D14/'ESTRUCTURA ECONOMICA'!E29)</f>
        <v>0</v>
      </c>
      <c r="F14" s="158">
        <f>'ESTRUCTURA ECONOMICA'!G24</f>
        <v>0</v>
      </c>
      <c r="G14" s="270">
        <f>(F14/'ESTRUCTURA ECONOMICA'!G29)</f>
        <v>0</v>
      </c>
    </row>
    <row r="15" spans="1:22" x14ac:dyDescent="0.15">
      <c r="A15" s="242" t="s">
        <v>84</v>
      </c>
      <c r="B15" s="157">
        <f>'ESTRUCTURA ECONOMICA'!B28</f>
        <v>0</v>
      </c>
      <c r="C15" s="270">
        <f>(B15/'ESTRUCTURA ECONOMICA'!B29)</f>
        <v>0</v>
      </c>
      <c r="D15" s="158">
        <f>'ESTRUCTURA ECONOMICA'!E28</f>
        <v>0</v>
      </c>
      <c r="E15" s="270">
        <f>(D15/'ESTRUCTURA ECONOMICA'!E29)</f>
        <v>0</v>
      </c>
      <c r="F15" s="158">
        <f>'ESTRUCTURA ECONOMICA'!G28</f>
        <v>0</v>
      </c>
      <c r="G15" s="270">
        <f>(F15/'ESTRUCTURA ECONOMICA'!G29)</f>
        <v>0</v>
      </c>
      <c r="I15" s="19">
        <f>IF('ESTRUCTURA ECONOMICA'!$E$29=0,('ESTRUCTURA ECONOMICA'!$B$29/'ESTRUCTURA FINANCIERA'!$B$56),('ESTRUCTURA ECONOMICA'!$B$29/(('ESTRUCTURA FINANCIERA'!$B$56+'ESTRUCTURA FINANCIERA'!$D$56)/2)))</f>
        <v>0.15537880410280772</v>
      </c>
      <c r="J15" s="90">
        <f>'ESTRUCTURA ECONOMICA'!$B$27</f>
        <v>682548271</v>
      </c>
      <c r="K15">
        <f>IF(J15=0,1,(J15/ABS(J15)))</f>
        <v>1</v>
      </c>
      <c r="M15" s="19">
        <f>IF('ESTRUCTURA ECONOMICA'!$G$29=0,('ESTRUCTURA ECONOMICA'!$E$29/'ESTRUCTURA FINANCIERA'!$D$56),('ESTRUCTURA ECONOMICA'!$E$29/(('ESTRUCTURA FINANCIERA'!$D$56+'ESTRUCTURA FINANCIERA'!$F$56)/2)))</f>
        <v>0.19383683575854016</v>
      </c>
      <c r="N15" s="90">
        <f>'ESTRUCTURA ECONOMICA'!$E$27</f>
        <v>676981945</v>
      </c>
      <c r="O15">
        <f>IF(N15=0,1,(N15/ABS(N15)))</f>
        <v>1</v>
      </c>
      <c r="Q15" s="19">
        <f>IF('ESTRUCTURA ECONOMICA'!$G$29=0,0,('ESTRUCTURA ECONOMICA'!$G$29/'ESTRUCTURA FINANCIERA'!$F$56))</f>
        <v>0.18404697321503843</v>
      </c>
      <c r="R15" s="90">
        <f>'ESTRUCTURA ECONOMICA'!$G$27</f>
        <v>533435923</v>
      </c>
      <c r="S15">
        <f>IF(R15=0,1,(R15/ABS(R15)))</f>
        <v>1</v>
      </c>
      <c r="U15" t="s">
        <v>280</v>
      </c>
    </row>
    <row r="16" spans="1:22" x14ac:dyDescent="0.15">
      <c r="A16" s="243" t="s">
        <v>85</v>
      </c>
      <c r="B16" s="224">
        <f>B22+B23</f>
        <v>682548271</v>
      </c>
      <c r="C16" s="269">
        <f>(B16/'ESTRUCTURA ECONOMICA'!B29)</f>
        <v>1</v>
      </c>
      <c r="D16" s="225">
        <f>D22+D23</f>
        <v>676981945</v>
      </c>
      <c r="E16" s="269">
        <f>(D16/'ESTRUCTURA ECONOMICA'!E29)</f>
        <v>1</v>
      </c>
      <c r="F16" s="225">
        <f>F22+F23</f>
        <v>533435923</v>
      </c>
      <c r="G16" s="269">
        <f>(F16/'ESTRUCTURA ECONOMICA'!G29)</f>
        <v>1</v>
      </c>
      <c r="I16" s="19">
        <f>IF('ESTRUCTURA ECONOMICA'!$E$29=0,('ESTRUCTURA ECONOMICA'!$B$29/ABS('ESTRUCTURA FINANCIERA'!$B$56)),('ESTRUCTURA ECONOMICA'!$B$29/ABS((('ESTRUCTURA FINANCIERA'!$B$56+'ESTRUCTURA FINANCIERA'!$D$56)/2))))</f>
        <v>0.15537880410280772</v>
      </c>
      <c r="J16" s="90">
        <f>('ESTRUCTURA FINANCIERA'!$B$56+'ESTRUCTURA FINANCIERA'!$D$56)/2</f>
        <v>4392801675.5</v>
      </c>
      <c r="K16">
        <f>IF(J16=0,1,(J16/ABS(J16)))</f>
        <v>1</v>
      </c>
      <c r="L16">
        <f>K15+K16</f>
        <v>2</v>
      </c>
      <c r="M16" s="19">
        <f>IF('ESTRUCTURA ECONOMICA'!$G$29=0,('ESTRUCTURA ECONOMICA'!$E$29/ABS('ESTRUCTURA FINANCIERA'!$D$56)),('ESTRUCTURA ECONOMICA'!$E$29/ABS((('ESTRUCTURA FINANCIERA'!$D$56+'ESTRUCTURA FINANCIERA'!$F$56)/2))))</f>
        <v>0.19383683575854016</v>
      </c>
      <c r="N16" s="90">
        <f>('ESTRUCTURA FINANCIERA'!$D$56+'ESTRUCTURA FINANCIERA'!$F$56)/2</f>
        <v>3492535061</v>
      </c>
      <c r="O16">
        <f>IF(N16=0,1,(N16/ABS(N16)))</f>
        <v>1</v>
      </c>
      <c r="P16">
        <f>O15+O16</f>
        <v>2</v>
      </c>
      <c r="Q16" s="19">
        <f>IF('ESTRUCTURA ECONOMICA'!$G$29=0,0,('ESTRUCTURA ECONOMICA'!$G$29/ABS('ESTRUCTURA FINANCIERA'!$F$56)))</f>
        <v>0.18404697321503843</v>
      </c>
      <c r="R16" s="90">
        <f>'ESTRUCTURA FINANCIERA'!$F$56</f>
        <v>2898368355</v>
      </c>
      <c r="S16">
        <f>IF(R16=0,1,(R16/ABS(R16)))</f>
        <v>1</v>
      </c>
      <c r="T16">
        <f>S15+S16</f>
        <v>2</v>
      </c>
      <c r="U16" t="s">
        <v>282</v>
      </c>
    </row>
    <row r="17" spans="1:27" x14ac:dyDescent="0.15">
      <c r="C17"/>
      <c r="E17"/>
      <c r="G17"/>
      <c r="I17" s="19">
        <f>IF('ESTRUCTURA ECONOMICA'!$E$29=0,('ESTRUCTURA ECONOMICA'!$B$29/('ESTRUCTURA FINANCIERA'!$B$56-'ESTRUCTURA FINANCIERA'!$B$55)),('ESTRUCTURA ECONOMICA'!$B$29/((('ESTRUCTURA FINANCIERA'!$B$56-'ESTRUCTURA FINANCIERA'!$B$55)+('ESTRUCTURA FINANCIERA'!$D$56-'ESTRUCTURA FINANCIERA'!$D$55))/2)))</f>
        <v>0.15537880410280772</v>
      </c>
      <c r="J17" s="90">
        <f>'ESTRUCTURA ECONOMICA'!$B$29</f>
        <v>682548271</v>
      </c>
      <c r="K17">
        <f>IF(J17=0,1,(J17/ABS(J17)))</f>
        <v>1</v>
      </c>
      <c r="M17" s="19">
        <f>IF('ESTRUCTURA ECONOMICA'!$G$29=0,('ESTRUCTURA ECONOMICA'!$E$29/('ESTRUCTURA FINANCIERA'!$D$56-'ESTRUCTURA FINANCIERA'!$D$55)),('ESTRUCTURA ECONOMICA'!$E$29/((('ESTRUCTURA FINANCIERA'!$D$56-'ESTRUCTURA FINANCIERA'!$D$55)+('ESTRUCTURA FINANCIERA'!$F$56-'ESTRUCTURA FINANCIERA'!$F$55))/2)))</f>
        <v>0.19383683575854016</v>
      </c>
      <c r="N17" s="90">
        <f>'ESTRUCTURA ECONOMICA'!$G$29</f>
        <v>533435923</v>
      </c>
      <c r="O17">
        <f>IF(N17=0,1,(N17/ABS(N17)))</f>
        <v>1</v>
      </c>
      <c r="Q17" s="19">
        <f>IF('ESTRUCTURA ECONOMICA'!$G$29=0,0,('ESTRUCTURA ECONOMICA'!$G$29/('ESTRUCTURA FINANCIERA'!$F$56-'ESTRUCTURA FINANCIERA'!$F$55)))</f>
        <v>0.18404697321503843</v>
      </c>
      <c r="R17" s="90">
        <f>'ESTRUCTURA ECONOMICA'!$G$27</f>
        <v>533435923</v>
      </c>
      <c r="S17">
        <f>IF(R17=0,1,(R17/ABS(R17)))</f>
        <v>1</v>
      </c>
      <c r="U17" t="s">
        <v>281</v>
      </c>
    </row>
    <row r="18" spans="1:27" x14ac:dyDescent="0.15">
      <c r="A18" s="243" t="s">
        <v>270</v>
      </c>
      <c r="B18" s="244">
        <f>'ESTRUCTURA ECONOMICA'!B29/'ESTRUCTURA ECONOMICA'!B10</f>
        <v>9.3538708696794537E-2</v>
      </c>
      <c r="C18" s="245"/>
      <c r="D18" s="246">
        <f>'ESTRUCTURA ECONOMICA'!E29/'ESTRUCTURA ECONOMICA'!E10</f>
        <v>0.11178865393911885</v>
      </c>
      <c r="E18" s="245"/>
      <c r="F18" s="246">
        <f>'ESTRUCTURA ECONOMICA'!G29/'ESTRUCTURA ECONOMICA'!G10</f>
        <v>0.1224140236855322</v>
      </c>
      <c r="G18" s="245"/>
      <c r="I18" s="19">
        <f>IF('ESTRUCTURA ECONOMICA'!$E$29=0,('ESTRUCTURA ECONOMICA'!$B$29/ABS('ESTRUCTURA FINANCIERA'!$B$56-'ESTRUCTURA FINANCIERA'!$B$55)),('ESTRUCTURA ECONOMICA'!$B$29/ABS((('ESTRUCTURA FINANCIERA'!$B$56-'ESTRUCTURA FINANCIERA'!$B$55)+('ESTRUCTURA FINANCIERA'!$D$56-'ESTRUCTURA FINANCIERA'!$D$55))/2)))</f>
        <v>0.15537880410280772</v>
      </c>
      <c r="J18" s="90">
        <f>(('ESTRUCTURA FINANCIERA'!B56-'ESTRUCTURA FINANCIERA'!B55)+('ESTRUCTURA FINANCIERA'!D56-'ESTRUCTURA FINANCIERA'!D55))/2</f>
        <v>4392801675.5</v>
      </c>
      <c r="K18">
        <f>IF(J18=0,1,(J18/ABS(J18)))</f>
        <v>1</v>
      </c>
      <c r="L18">
        <f>K17+K18</f>
        <v>2</v>
      </c>
      <c r="M18" s="19">
        <f>IF('ESTRUCTURA ECONOMICA'!$G$29=0,('ESTRUCTURA ECONOMICA'!$E$29/ABS('ESTRUCTURA FINANCIERA'!$D$56-'ESTRUCTURA FINANCIERA'!$D$55)),('ESTRUCTURA ECONOMICA'!$E$29/ABS((('ESTRUCTURA FINANCIERA'!$D$56-'ESTRUCTURA FINANCIERA'!$D$55)+('ESTRUCTURA FINANCIERA'!$F$56-'ESTRUCTURA FINANCIERA'!$F$55))/2)))</f>
        <v>0.19383683575854016</v>
      </c>
      <c r="N18" s="90">
        <f>(('ESTRUCTURA FINANCIERA'!$D$56-'ESTRUCTURA FINANCIERA'!$D$55)+('ESTRUCTURA FINANCIERA'!$F$56-'ESTRUCTURA FINANCIERA'!$F$55))/2</f>
        <v>3492535061</v>
      </c>
      <c r="O18">
        <f>IF(N18=0,1,(N18/ABS(N18)))</f>
        <v>1</v>
      </c>
      <c r="P18">
        <f>O17+O18</f>
        <v>2</v>
      </c>
      <c r="Q18" s="19">
        <f>IF('ESTRUCTURA ECONOMICA'!$G$29=0,0,('ESTRUCTURA ECONOMICA'!$G$29/('ESTRUCTURA FINANCIERA'!$F$56-'ESTRUCTURA FINANCIERA'!$F$55)))</f>
        <v>0.18404697321503843</v>
      </c>
      <c r="R18" s="90">
        <f>('ESTRUCTURA FINANCIERA'!$F$56-'ESTRUCTURA FINANCIERA'!$F$55)</f>
        <v>2898368355</v>
      </c>
      <c r="S18">
        <f>IF(R18=0,1,(R18/ABS(R18)))</f>
        <v>1</v>
      </c>
      <c r="T18">
        <f>S17+S18</f>
        <v>2</v>
      </c>
      <c r="U18" t="s">
        <v>283</v>
      </c>
    </row>
    <row r="19" spans="1:27" x14ac:dyDescent="0.15">
      <c r="A19" s="242"/>
      <c r="B19" s="16"/>
      <c r="C19" s="16"/>
      <c r="D19" s="16"/>
      <c r="E19" s="16"/>
      <c r="F19" s="16"/>
      <c r="G19" s="132"/>
    </row>
    <row r="20" spans="1:27" x14ac:dyDescent="0.15">
      <c r="A20" s="273" t="s">
        <v>279</v>
      </c>
      <c r="B20" s="313">
        <f>B7</f>
        <v>45657</v>
      </c>
      <c r="C20" s="314"/>
      <c r="D20" s="313">
        <f>D7</f>
        <v>45291</v>
      </c>
      <c r="E20" s="314"/>
      <c r="F20" s="313">
        <f>F7</f>
        <v>44926</v>
      </c>
      <c r="G20" s="314"/>
    </row>
    <row r="21" spans="1:27" x14ac:dyDescent="0.15">
      <c r="A21" s="242" t="s">
        <v>272</v>
      </c>
      <c r="B21" s="223">
        <f>B22+B23+B24+B25+B26</f>
        <v>682548271</v>
      </c>
      <c r="C21" s="269">
        <f>C22+C23+C24+C25+C26</f>
        <v>9.3538708696794537E-2</v>
      </c>
      <c r="D21" s="223">
        <f>D22+D23+D24+D25+D26</f>
        <v>676981945</v>
      </c>
      <c r="E21" s="269">
        <f>E22+E23+E24+E25+E26</f>
        <v>0.11178865393911885</v>
      </c>
      <c r="F21" s="223">
        <f>F22+F23+F24+F25+F26</f>
        <v>533435923</v>
      </c>
      <c r="G21" s="271">
        <f>(F21/'ESTRUCTURA ECONOMICA'!G10)</f>
        <v>0.1224140236855322</v>
      </c>
    </row>
    <row r="22" spans="1:27" ht="12" customHeight="1" x14ac:dyDescent="0.15">
      <c r="A22" s="242" t="s">
        <v>118</v>
      </c>
      <c r="B22" s="296">
        <f>'ESTRUCTURA ECONOMICA'!B21</f>
        <v>-2117776331</v>
      </c>
      <c r="C22" s="270">
        <f>(B22/'ESTRUCTURA ECONOMICA'!B10)</f>
        <v>-0.29022718498744149</v>
      </c>
      <c r="D22" s="296">
        <f>'ESTRUCTURA ECONOMICA'!E21</f>
        <v>-1486428814</v>
      </c>
      <c r="E22" s="270">
        <f>(D22/'ESTRUCTURA ECONOMICA'!E10)</f>
        <v>-0.24545097180306763</v>
      </c>
      <c r="F22" s="296">
        <f>'ESTRUCTURA ECONOMICA'!G21</f>
        <v>-1264999965</v>
      </c>
      <c r="G22" s="272">
        <f>(F22/'ESTRUCTURA ECONOMICA'!G10)</f>
        <v>-0.2902949145359815</v>
      </c>
    </row>
    <row r="23" spans="1:27" x14ac:dyDescent="0.15">
      <c r="A23" s="242" t="s">
        <v>86</v>
      </c>
      <c r="B23" s="296">
        <f>'ESTRUCTURA ECONOMICA'!B22-'ESTRUCTURA ECONOMICA'!B23</f>
        <v>2800324602</v>
      </c>
      <c r="C23" s="270">
        <f>(B23/'ESTRUCTURA ECONOMICA'!B10)</f>
        <v>0.38376589368423603</v>
      </c>
      <c r="D23" s="296">
        <f>'ESTRUCTURA ECONOMICA'!E22-'ESTRUCTURA ECONOMICA'!E23</f>
        <v>2163410759</v>
      </c>
      <c r="E23" s="270">
        <f>(D23/'ESTRUCTURA ECONOMICA'!E10)</f>
        <v>0.35723962574218648</v>
      </c>
      <c r="F23" s="296">
        <f>'ESTRUCTURA ECONOMICA'!G22-'ESTRUCTURA ECONOMICA'!G23</f>
        <v>1798435888</v>
      </c>
      <c r="G23" s="272">
        <f>(F23/'ESTRUCTURA ECONOMICA'!G10)</f>
        <v>0.41270893822151367</v>
      </c>
    </row>
    <row r="24" spans="1:27" x14ac:dyDescent="0.15">
      <c r="A24" s="242" t="s">
        <v>47</v>
      </c>
      <c r="B24" s="162">
        <f>B13</f>
        <v>0</v>
      </c>
      <c r="C24" s="270">
        <f>(B24/'ESTRUCTURA ECONOMICA'!B10)</f>
        <v>0</v>
      </c>
      <c r="D24" s="162">
        <f>D13</f>
        <v>0</v>
      </c>
      <c r="E24" s="270">
        <f>(D24/'ESTRUCTURA ECONOMICA'!E10)</f>
        <v>0</v>
      </c>
      <c r="F24" s="162">
        <f>F13</f>
        <v>0</v>
      </c>
      <c r="G24" s="272">
        <f>(F24/'ESTRUCTURA ECONOMICA'!G10)</f>
        <v>0</v>
      </c>
    </row>
    <row r="25" spans="1:27" x14ac:dyDescent="0.15">
      <c r="A25" s="242" t="s">
        <v>87</v>
      </c>
      <c r="B25" s="162">
        <f>'ESTRUCTURA ECONOMICA'!B24</f>
        <v>0</v>
      </c>
      <c r="C25" s="270">
        <f>(B25/'ESTRUCTURA ECONOMICA'!B10)</f>
        <v>0</v>
      </c>
      <c r="D25" s="162">
        <f>'ESTRUCTURA ECONOMICA'!E24</f>
        <v>0</v>
      </c>
      <c r="E25" s="270">
        <f>(D25/'ESTRUCTURA ECONOMICA'!E10)</f>
        <v>0</v>
      </c>
      <c r="F25" s="162">
        <f>'ESTRUCTURA ECONOMICA'!G24</f>
        <v>0</v>
      </c>
      <c r="G25" s="272">
        <f>(F25/'ESTRUCTURA ECONOMICA'!G10)</f>
        <v>0</v>
      </c>
    </row>
    <row r="26" spans="1:27" ht="12" customHeight="1" x14ac:dyDescent="0.15">
      <c r="A26" s="242" t="s">
        <v>84</v>
      </c>
      <c r="B26" s="162">
        <f>'ESTRUCTURA ECONOMICA'!B28</f>
        <v>0</v>
      </c>
      <c r="C26" s="270">
        <f>(B26/'ESTRUCTURA ECONOMICA'!B10)</f>
        <v>0</v>
      </c>
      <c r="D26" s="162">
        <f>'ESTRUCTURA ECONOMICA'!E28</f>
        <v>0</v>
      </c>
      <c r="E26" s="270">
        <f>(D26/'ESTRUCTURA ECONOMICA'!E10)</f>
        <v>0</v>
      </c>
      <c r="F26" s="162">
        <f>'ESTRUCTURA ECONOMICA'!G28</f>
        <v>0</v>
      </c>
      <c r="G26" s="272">
        <f>(F26/'ESTRUCTURA ECONOMICA'!G10)</f>
        <v>0</v>
      </c>
      <c r="I26" s="8"/>
    </row>
    <row r="27" spans="1:27" x14ac:dyDescent="0.15"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32" spans="1:27" ht="11.25" customHeight="1" x14ac:dyDescent="0.15">
      <c r="B32" s="274"/>
      <c r="C32" s="274"/>
      <c r="D32" s="274"/>
      <c r="E32" s="274"/>
      <c r="F32" s="274"/>
    </row>
    <row r="33" spans="2:6" ht="11.25" customHeight="1" x14ac:dyDescent="0.15">
      <c r="B33" s="274"/>
      <c r="C33" s="274"/>
      <c r="D33" s="274"/>
      <c r="E33" s="274"/>
      <c r="F33" s="274"/>
    </row>
    <row r="34" spans="2:6" ht="11.25" customHeight="1" x14ac:dyDescent="0.15"/>
    <row r="35" spans="2:6" ht="11.25" customHeight="1" x14ac:dyDescent="0.15"/>
    <row r="36" spans="2:6" ht="11.25" customHeight="1" x14ac:dyDescent="0.15"/>
    <row r="37" spans="2:6" ht="11.25" customHeight="1" x14ac:dyDescent="0.15"/>
    <row r="38" spans="2:6" ht="11.25" customHeight="1" x14ac:dyDescent="0.15"/>
    <row r="39" spans="2:6" ht="11.25" customHeight="1" x14ac:dyDescent="0.15"/>
    <row r="40" spans="2:6" ht="11.25" customHeight="1" x14ac:dyDescent="0.15"/>
    <row r="41" spans="2:6" ht="11.25" customHeight="1" x14ac:dyDescent="0.15"/>
    <row r="42" spans="2:6" ht="11.25" customHeight="1" x14ac:dyDescent="0.15"/>
  </sheetData>
  <mergeCells count="15">
    <mergeCell ref="B20:C20"/>
    <mergeCell ref="D20:E20"/>
    <mergeCell ref="F20:G20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</mergeCells>
  <phoneticPr fontId="16" type="noConversion"/>
  <printOptions horizontalCentered="1" gridLinesSet="0"/>
  <pageMargins left="0.59055118110236227" right="0.59055118110236227" top="0.59055118110236227" bottom="0.59055118110236227" header="0.51181102362204722" footer="0.51181102362204722"/>
  <pageSetup scale="98" orientation="portrait" blackAndWhite="1" verticalDpi="14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>
    <tabColor rgb="FFFFFF00"/>
    <pageSetUpPr fitToPage="1"/>
  </sheetPr>
  <dimension ref="A1:AR35"/>
  <sheetViews>
    <sheetView showGridLines="0" zoomScale="120" zoomScaleNormal="120" workbookViewId="0">
      <selection sqref="A1:I32"/>
    </sheetView>
  </sheetViews>
  <sheetFormatPr baseColWidth="10" defaultColWidth="11.5" defaultRowHeight="13" x14ac:dyDescent="0.15"/>
  <cols>
    <col min="1" max="1" width="53.5" bestFit="1" customWidth="1"/>
    <col min="2" max="2" width="13.6640625" bestFit="1" customWidth="1"/>
    <col min="3" max="3" width="8.83203125" style="18" bestFit="1" customWidth="1"/>
    <col min="4" max="4" width="13.6640625" bestFit="1" customWidth="1"/>
    <col min="5" max="5" width="8.83203125" style="18" bestFit="1" customWidth="1"/>
    <col min="6" max="6" width="12.1640625" bestFit="1" customWidth="1"/>
    <col min="7" max="7" width="8.83203125" style="18" bestFit="1" customWidth="1"/>
    <col min="8" max="8" width="11.1640625" hidden="1" customWidth="1"/>
    <col min="9" max="9" width="7.33203125" bestFit="1" customWidth="1"/>
    <col min="10" max="33" width="0" hidden="1" customWidth="1"/>
    <col min="42" max="44" width="0" hidden="1" customWidth="1"/>
  </cols>
  <sheetData>
    <row r="1" spans="1:44" ht="12.75" customHeight="1" x14ac:dyDescent="0.15">
      <c r="A1" s="141" t="s">
        <v>251</v>
      </c>
      <c r="F1" s="141"/>
      <c r="G1" s="141"/>
    </row>
    <row r="2" spans="1:44" ht="14" thickBot="1" x14ac:dyDescent="0.2">
      <c r="E2" s="141"/>
      <c r="F2" s="141"/>
      <c r="G2" s="141"/>
    </row>
    <row r="3" spans="1:44" ht="21" thickBot="1" x14ac:dyDescent="0.25">
      <c r="A3" s="17" t="s">
        <v>88</v>
      </c>
      <c r="B3" s="3"/>
      <c r="C3" s="3"/>
      <c r="D3" s="3"/>
      <c r="E3" s="3"/>
      <c r="F3" s="3"/>
      <c r="G3" s="4"/>
    </row>
    <row r="4" spans="1:44" x14ac:dyDescent="0.15">
      <c r="A4" s="326" t="str">
        <f>+'RENTABILIDAD-BENEFICIOS'!A4</f>
        <v>(Expresado en pesos Dominicanos DOP)</v>
      </c>
      <c r="B4" s="326"/>
      <c r="C4" s="326"/>
      <c r="D4" s="326"/>
      <c r="E4" s="326"/>
      <c r="F4" s="326"/>
      <c r="G4" s="326"/>
    </row>
    <row r="5" spans="1:44" x14ac:dyDescent="0.15">
      <c r="A5" s="238"/>
      <c r="B5" s="238"/>
      <c r="C5" s="238"/>
      <c r="D5" s="238"/>
      <c r="E5" s="238"/>
      <c r="F5" s="238"/>
      <c r="G5" s="238"/>
    </row>
    <row r="6" spans="1:44" x14ac:dyDescent="0.15">
      <c r="A6" s="255" t="s">
        <v>4</v>
      </c>
      <c r="B6" s="327">
        <f>'RENTABILIDAD-BENEFICIOS'!B7</f>
        <v>45657</v>
      </c>
      <c r="C6" s="328"/>
      <c r="D6" s="327">
        <f>'RENTABILIDAD-BENEFICIOS'!D7</f>
        <v>45291</v>
      </c>
      <c r="E6" s="328"/>
      <c r="F6" s="327">
        <f>'RENTABILIDAD-BENEFICIOS'!F7</f>
        <v>44926</v>
      </c>
      <c r="G6" s="328"/>
    </row>
    <row r="7" spans="1:44" x14ac:dyDescent="0.15">
      <c r="A7" s="265" t="s">
        <v>89</v>
      </c>
      <c r="B7" s="340">
        <f>IF(B6=0," ",B8+B9+B10-B11+B12)</f>
        <v>1651641199</v>
      </c>
      <c r="C7" s="340"/>
      <c r="D7" s="340">
        <f>IF(D6=0," ",D8+D9+D10-D11+D12)</f>
        <v>1285366108</v>
      </c>
      <c r="E7" s="340"/>
      <c r="F7" s="340">
        <f>IF(F6=0," ",F8+F9+F10-F11+F12)</f>
        <v>922082241</v>
      </c>
      <c r="G7" s="340"/>
    </row>
    <row r="8" spans="1:44" x14ac:dyDescent="0.15">
      <c r="A8" s="235" t="s">
        <v>90</v>
      </c>
      <c r="B8" s="332">
        <f>IF(B6=0," ",'ESTRUCTURA ECONOMICA'!B31)</f>
        <v>623074145</v>
      </c>
      <c r="C8" s="332"/>
      <c r="D8" s="332">
        <f>IF(D6=0," ",'ESTRUCTURA ECONOMICA'!E31)</f>
        <v>638333412</v>
      </c>
      <c r="E8" s="332"/>
      <c r="F8" s="332">
        <f>IF(F6=0," ",'ESTRUCTURA ECONOMICA'!G31)</f>
        <v>524467786</v>
      </c>
      <c r="G8" s="332"/>
    </row>
    <row r="9" spans="1:44" x14ac:dyDescent="0.15">
      <c r="A9" s="235" t="s">
        <v>91</v>
      </c>
      <c r="B9" s="332">
        <f>IF(B6=0," ",'ESTRUCTURA ECONOMICA'!B18)</f>
        <v>0</v>
      </c>
      <c r="C9" s="332"/>
      <c r="D9" s="332">
        <f>IF(D6=0," ",'ESTRUCTURA ECONOMICA'!E18)</f>
        <v>0</v>
      </c>
      <c r="E9" s="332"/>
      <c r="F9" s="332">
        <f>IF(F6=0," ",'ESTRUCTURA ECONOMICA'!G18)</f>
        <v>0</v>
      </c>
      <c r="G9" s="332"/>
    </row>
    <row r="10" spans="1:44" x14ac:dyDescent="0.15">
      <c r="A10" s="235" t="s">
        <v>92</v>
      </c>
      <c r="B10" s="332">
        <f>IF(B6=0," ",'ESTRUCTURA ECONOMICA'!B19)</f>
        <v>1028567054</v>
      </c>
      <c r="C10" s="332"/>
      <c r="D10" s="332">
        <f>IF(D6=0," ",'ESTRUCTURA ECONOMICA'!E19)</f>
        <v>647032696</v>
      </c>
      <c r="E10" s="332"/>
      <c r="F10" s="332">
        <f>IF(F6=0," ",'ESTRUCTURA ECONOMICA'!G19)</f>
        <v>397614455</v>
      </c>
      <c r="G10" s="332"/>
    </row>
    <row r="11" spans="1:44" x14ac:dyDescent="0.15">
      <c r="A11" s="235" t="s">
        <v>93</v>
      </c>
      <c r="B11" s="332">
        <f>IF(B6=0," ",'ESTRUCTURA ECONOMICA'!B28)</f>
        <v>0</v>
      </c>
      <c r="C11" s="332"/>
      <c r="D11" s="332">
        <f>IF(D6=0," ",'ESTRUCTURA ECONOMICA'!E28)</f>
        <v>0</v>
      </c>
      <c r="E11" s="332"/>
      <c r="F11" s="332">
        <f>IF(F6=0," ",'ESTRUCTURA ECONOMICA'!G28)</f>
        <v>0</v>
      </c>
      <c r="G11" s="332"/>
    </row>
    <row r="12" spans="1:44" x14ac:dyDescent="0.15">
      <c r="A12" s="235" t="s">
        <v>94</v>
      </c>
      <c r="B12" s="332">
        <f>IF(B6=0," ",'ESTRUCTURA ECONOMICA'!B32)</f>
        <v>0</v>
      </c>
      <c r="C12" s="332"/>
      <c r="D12" s="332">
        <f>IF(D6=0," ",'ESTRUCTURA ECONOMICA'!E32)</f>
        <v>0</v>
      </c>
      <c r="E12" s="332"/>
      <c r="F12" s="332">
        <f>IF(F6=0," ",'ESTRUCTURA ECONOMICA'!G32)</f>
        <v>0</v>
      </c>
      <c r="G12" s="332"/>
    </row>
    <row r="13" spans="1:44" x14ac:dyDescent="0.15">
      <c r="C13"/>
      <c r="E13"/>
      <c r="G13"/>
      <c r="I13" s="8" t="b">
        <v>0</v>
      </c>
    </row>
    <row r="14" spans="1:44" x14ac:dyDescent="0.15">
      <c r="A14" s="255" t="s">
        <v>273</v>
      </c>
      <c r="B14" s="264">
        <f>B6</f>
        <v>45657</v>
      </c>
      <c r="C14" s="264" t="s">
        <v>0</v>
      </c>
      <c r="D14" s="264">
        <f>D6</f>
        <v>45291</v>
      </c>
      <c r="E14" s="264" t="s">
        <v>0</v>
      </c>
      <c r="F14" s="264">
        <f>F6</f>
        <v>44926</v>
      </c>
      <c r="G14" s="236" t="s">
        <v>0</v>
      </c>
    </row>
    <row r="15" spans="1:44" x14ac:dyDescent="0.15">
      <c r="A15" s="235" t="s">
        <v>47</v>
      </c>
      <c r="B15" s="159">
        <f>IF(B6=0," ",'ESTRUCTURA ECONOMICA'!B25)</f>
        <v>0</v>
      </c>
      <c r="C15" s="160">
        <f>IF(B6=0," ",B15/B7)</f>
        <v>0</v>
      </c>
      <c r="D15" s="159">
        <f>IF(D6=0," ",'ESTRUCTURA ECONOMICA'!E25)</f>
        <v>0</v>
      </c>
      <c r="E15" s="160">
        <f>IF(D6=0," ",D15/D7)</f>
        <v>0</v>
      </c>
      <c r="F15" s="159">
        <f>IF(F6=0," ",'ESTRUCTURA ECONOMICA'!G25)</f>
        <v>0</v>
      </c>
      <c r="G15" s="161">
        <f>IF(F6=0," ",F15/F7)</f>
        <v>0</v>
      </c>
    </row>
    <row r="16" spans="1:44" x14ac:dyDescent="0.15">
      <c r="A16" s="235" t="s">
        <v>95</v>
      </c>
      <c r="B16" s="159">
        <f>IF(B6=0," ",'ESTRUCTURA ECONOMICA'!B24)</f>
        <v>0</v>
      </c>
      <c r="C16" s="160">
        <f>IF(B6=0," ",B16/B7)</f>
        <v>0</v>
      </c>
      <c r="D16" s="159">
        <f>IF(D6=0," ",'ESTRUCTURA ECONOMICA'!E24)</f>
        <v>0</v>
      </c>
      <c r="E16" s="160">
        <f>IF(D6=0," ",D16/D7)</f>
        <v>0</v>
      </c>
      <c r="F16" s="159">
        <f>IF(F6=0," ",'ESTRUCTURA ECONOMICA'!G24)</f>
        <v>0</v>
      </c>
      <c r="G16" s="161">
        <f>IF(F6=0," ",F16/F7)</f>
        <v>0</v>
      </c>
      <c r="AP16" t="e">
        <f>IF('ESTRUCTURA FINANCIERA'!D22=0,#REF!,('ESTRUCTURA FINANCIERA'!B22-'ESTRUCTURA FINANCIERA'!D22))</f>
        <v>#REF!</v>
      </c>
      <c r="AQ16" t="e">
        <f>IF(#REF!=0,AP16,#REF!)</f>
        <v>#REF!</v>
      </c>
      <c r="AR16" t="e">
        <f>IF(AP16=0,'ESTRUCTURA ECONOMICA'!B18,AQ16)</f>
        <v>#REF!</v>
      </c>
    </row>
    <row r="17" spans="1:44" x14ac:dyDescent="0.15">
      <c r="A17" s="235" t="s">
        <v>96</v>
      </c>
      <c r="B17" s="159">
        <f>IF(B6=0," ",B7-B15-B16)</f>
        <v>1651641199</v>
      </c>
      <c r="C17" s="160">
        <f>IF(B6=0," ",B17/B7)</f>
        <v>1</v>
      </c>
      <c r="D17" s="159">
        <f>IF(D6=0," ",D7-D15-D16)</f>
        <v>1285366108</v>
      </c>
      <c r="E17" s="160">
        <f>IF(D6=0," ",D17/D7)</f>
        <v>1</v>
      </c>
      <c r="F17" s="159">
        <f>IF(F6=0," ",F7-F15-F16)</f>
        <v>922082241</v>
      </c>
      <c r="G17" s="161">
        <f>IF(F6=0," ",F17/F7)</f>
        <v>1</v>
      </c>
    </row>
    <row r="18" spans="1:44" x14ac:dyDescent="0.15">
      <c r="A18" s="234" t="s">
        <v>274</v>
      </c>
      <c r="B18" s="227">
        <f t="shared" ref="B18:G18" si="0">SUM(B15:B17)</f>
        <v>1651641199</v>
      </c>
      <c r="C18" s="228">
        <f t="shared" si="0"/>
        <v>1</v>
      </c>
      <c r="D18" s="227">
        <f t="shared" si="0"/>
        <v>1285366108</v>
      </c>
      <c r="E18" s="228">
        <f t="shared" si="0"/>
        <v>1</v>
      </c>
      <c r="F18" s="227">
        <f t="shared" si="0"/>
        <v>922082241</v>
      </c>
      <c r="G18" s="229">
        <f t="shared" si="0"/>
        <v>1</v>
      </c>
    </row>
    <row r="19" spans="1:44" x14ac:dyDescent="0.15">
      <c r="A19" s="267"/>
      <c r="B19" s="268"/>
      <c r="C19" s="266"/>
      <c r="D19" s="268"/>
      <c r="E19" s="266"/>
      <c r="F19" s="268"/>
      <c r="G19" s="266"/>
    </row>
    <row r="20" spans="1:44" x14ac:dyDescent="0.15">
      <c r="A20" s="255" t="s">
        <v>276</v>
      </c>
      <c r="B20" s="313">
        <f>'RENTABILIDAD-BENEFICIOS'!B7</f>
        <v>45657</v>
      </c>
      <c r="C20" s="331"/>
      <c r="D20" s="313">
        <f>'RENTABILIDAD-BENEFICIOS'!D7</f>
        <v>45291</v>
      </c>
      <c r="E20" s="331"/>
      <c r="F20" s="313">
        <f>'RENTABILIDAD-BENEFICIOS'!F7</f>
        <v>44926</v>
      </c>
      <c r="G20" s="331"/>
    </row>
    <row r="21" spans="1:44" x14ac:dyDescent="0.15">
      <c r="A21" s="234" t="s">
        <v>277</v>
      </c>
      <c r="B21" s="329">
        <f>IF(B6=0," ",'ESTRUCTURA ECONOMICA'!B21+'ESTRUCTURA ECONOMICA'!B18)</f>
        <v>-2117776331</v>
      </c>
      <c r="C21" s="330"/>
      <c r="D21" s="329">
        <f>IF(D6=0," ",'ESTRUCTURA ECONOMICA'!E21+'ESTRUCTURA ECONOMICA'!E18)</f>
        <v>-1486428814</v>
      </c>
      <c r="E21" s="330"/>
      <c r="F21" s="329">
        <f>IF(F6=0," ",'ESTRUCTURA ECONOMICA'!G21+'ESTRUCTURA ECONOMICA'!G18)</f>
        <v>-1264999965</v>
      </c>
      <c r="G21" s="330"/>
      <c r="AP21" t="e">
        <f>IF('ESTRUCTURA FINANCIERA'!F22=0,#REF!,('ESTRUCTURA FINANCIERA'!D22-'ESTRUCTURA FINANCIERA'!F23))</f>
        <v>#REF!</v>
      </c>
      <c r="AQ21" t="e">
        <f>IF(#REF!=0,AP21,#REF!)</f>
        <v>#REF!</v>
      </c>
      <c r="AR21" t="e">
        <f>IF(AP21=0,'ESTRUCTURA ECONOMICA'!E18,AQ21)</f>
        <v>#REF!</v>
      </c>
    </row>
    <row r="22" spans="1:44" x14ac:dyDescent="0.15">
      <c r="A22" s="301" t="s">
        <v>101</v>
      </c>
      <c r="B22" s="335" t="e">
        <f>IF(B6=0," ",(('ESTRUCTURA ECONOMICA'!B21+'ESTRUCTURA ECONOMICA'!B18)/'ESTRUCTURA ECONOMICA'!B23))</f>
        <v>#DIV/0!</v>
      </c>
      <c r="C22" s="336"/>
      <c r="D22" s="335" t="e">
        <f>IF(D6=0," ",(('ESTRUCTURA ECONOMICA'!E21+'ESTRUCTURA ECONOMICA'!E18)/'ESTRUCTURA ECONOMICA'!E23))</f>
        <v>#DIV/0!</v>
      </c>
      <c r="E22" s="336"/>
      <c r="F22" s="335" t="e">
        <f>IF(F6=0," ",(('ESTRUCTURA ECONOMICA'!G21+'ESTRUCTURA ECONOMICA'!G18)/'ESTRUCTURA ECONOMICA'!G23))</f>
        <v>#DIV/0!</v>
      </c>
      <c r="G22" s="336"/>
    </row>
    <row r="23" spans="1:44" x14ac:dyDescent="0.15">
      <c r="A23" s="232"/>
      <c r="B23" s="233"/>
      <c r="C23" s="231"/>
      <c r="D23" s="233"/>
      <c r="E23" s="231"/>
      <c r="F23" s="233"/>
      <c r="G23" s="237"/>
      <c r="AI23" s="8"/>
    </row>
    <row r="24" spans="1:44" x14ac:dyDescent="0.15">
      <c r="A24" s="254" t="s">
        <v>275</v>
      </c>
      <c r="B24" s="327">
        <f>B6</f>
        <v>45657</v>
      </c>
      <c r="C24" s="337"/>
      <c r="D24" s="338">
        <f>D6</f>
        <v>45291</v>
      </c>
      <c r="E24" s="337"/>
      <c r="F24" s="338">
        <f>F6</f>
        <v>44926</v>
      </c>
      <c r="G24" s="337"/>
    </row>
    <row r="25" spans="1:44" x14ac:dyDescent="0.15">
      <c r="A25" s="235" t="s">
        <v>97</v>
      </c>
      <c r="B25" s="333">
        <f>IF(B6=0," ",'ESTRUCTURA FINANCIERA'!B48/'GENERACION DE RECURSOS'!B7)</f>
        <v>2.1948893719743063</v>
      </c>
      <c r="C25" s="334"/>
      <c r="D25" s="333">
        <f>IF(D6=0," ",'ESTRUCTURA FINANCIERA'!D48/'GENERACION DE RECURSOS'!D7)</f>
        <v>2.1423436279058947</v>
      </c>
      <c r="E25" s="334"/>
      <c r="F25" s="333">
        <f>IF(F6=0," ",'ESTRUCTURA FINANCIERA'!F48/'GENERACION DE RECURSOS'!F7)</f>
        <v>1.9931744504772433</v>
      </c>
      <c r="G25" s="334"/>
    </row>
    <row r="26" spans="1:44" x14ac:dyDescent="0.15">
      <c r="A26" s="235" t="s">
        <v>98</v>
      </c>
      <c r="B26" s="333">
        <f>IF(B6=0," ",('ESTRUCTURA FINANCIERA'!B31+'ESTRUCTURA FINANCIERA'!B32+'ESTRUCTURA FINANCIERA'!B43+'ESTRUCTURA FINANCIERA'!B44)/('GENERACION DE RECURSOS'!B7))</f>
        <v>30.09623194861949</v>
      </c>
      <c r="C26" s="334"/>
      <c r="D26" s="333">
        <f>IF(D6=0," ",('ESTRUCTURA FINANCIERA'!D31+'ESTRUCTURA FINANCIERA'!D32+'ESTRUCTURA FINANCIERA'!D43+'ESTRUCTURA FINANCIERA'!D44)/('GENERACION DE RECURSOS'!D7))</f>
        <v>32.884799206172936</v>
      </c>
      <c r="E26" s="334"/>
      <c r="F26" s="333">
        <f>IF(F6=0," ",('ESTRUCTURA FINANCIERA'!F31+'ESTRUCTURA FINANCIERA'!F32+'ESTRUCTURA FINANCIERA'!F43+'ESTRUCTURA FINANCIERA'!F44)/('GENERACION DE RECURSOS'!F7))</f>
        <v>39.758370062784891</v>
      </c>
      <c r="G26" s="334"/>
    </row>
    <row r="27" spans="1:44" x14ac:dyDescent="0.15">
      <c r="A27" s="235" t="s">
        <v>99</v>
      </c>
      <c r="B27" s="333">
        <f>IF(B6=0," ",'ESTRUCTURA FINANCIERA'!B48/'GENERACION DE RECURSOS'!B17)</f>
        <v>2.1948893719743063</v>
      </c>
      <c r="C27" s="334"/>
      <c r="D27" s="333">
        <f>IF(D6=0," ",'ESTRUCTURA FINANCIERA'!D48/'GENERACION DE RECURSOS'!D17)</f>
        <v>2.1423436279058947</v>
      </c>
      <c r="E27" s="334"/>
      <c r="F27" s="333">
        <f>IF(F6=0," ",'ESTRUCTURA FINANCIERA'!F48/'GENERACION DE RECURSOS'!F17)</f>
        <v>1.9931744504772433</v>
      </c>
      <c r="G27" s="334"/>
    </row>
    <row r="28" spans="1:44" x14ac:dyDescent="0.15">
      <c r="A28" s="235" t="s">
        <v>100</v>
      </c>
      <c r="B28" s="333">
        <f>IF(B6=0," ",('ESTRUCTURA FINANCIERA'!B43+'ESTRUCTURA FINANCIERA'!B44+'ESTRUCTURA FINANCIERA'!B31+'ESTRUCTURA FINANCIERA'!B32)/B17)</f>
        <v>30.09623194861949</v>
      </c>
      <c r="C28" s="334"/>
      <c r="D28" s="333">
        <f>IF(D6=0," ",('ESTRUCTURA FINANCIERA'!D43+'ESTRUCTURA FINANCIERA'!D44+'ESTRUCTURA FINANCIERA'!D31+'ESTRUCTURA FINANCIERA'!D32)/D17)</f>
        <v>32.884799206172936</v>
      </c>
      <c r="E28" s="334"/>
      <c r="F28" s="333">
        <f>IF(F6=0," ",('ESTRUCTURA FINANCIERA'!F43+'ESTRUCTURA FINANCIERA'!F44+'ESTRUCTURA FINANCIERA'!F31+'ESTRUCTURA FINANCIERA'!F32)/F17)</f>
        <v>39.758370062784891</v>
      </c>
      <c r="G28" s="334"/>
    </row>
    <row r="29" spans="1:44" x14ac:dyDescent="0.15">
      <c r="A29" s="137"/>
    </row>
    <row r="30" spans="1:44" x14ac:dyDescent="0.15">
      <c r="A30" s="339" t="s">
        <v>126</v>
      </c>
      <c r="B30" s="339"/>
      <c r="C30" s="339"/>
      <c r="D30" s="339"/>
      <c r="E30" s="339"/>
      <c r="F30" s="339"/>
      <c r="G30" s="339"/>
    </row>
    <row r="31" spans="1:44" x14ac:dyDescent="0.15">
      <c r="A31" s="139" t="s">
        <v>117</v>
      </c>
      <c r="B31" s="139"/>
      <c r="C31" s="139"/>
      <c r="D31" s="139"/>
      <c r="E31" s="139"/>
      <c r="F31" s="139"/>
      <c r="G31" s="139"/>
    </row>
    <row r="35" ht="6.5" customHeight="1" x14ac:dyDescent="0.15"/>
  </sheetData>
  <mergeCells count="47">
    <mergeCell ref="A30:G30"/>
    <mergeCell ref="B7:C7"/>
    <mergeCell ref="B8:C8"/>
    <mergeCell ref="B9:C9"/>
    <mergeCell ref="B10:C10"/>
    <mergeCell ref="B11:C11"/>
    <mergeCell ref="B12:C12"/>
    <mergeCell ref="D7:E7"/>
    <mergeCell ref="D8:E8"/>
    <mergeCell ref="D9:E9"/>
    <mergeCell ref="D10:E10"/>
    <mergeCell ref="D11:E11"/>
    <mergeCell ref="D12:E12"/>
    <mergeCell ref="B25:C25"/>
    <mergeCell ref="B26:C26"/>
    <mergeCell ref="F7:G7"/>
    <mergeCell ref="F26:G26"/>
    <mergeCell ref="F27:G27"/>
    <mergeCell ref="F28:G28"/>
    <mergeCell ref="F22:G22"/>
    <mergeCell ref="B27:C27"/>
    <mergeCell ref="B28:C28"/>
    <mergeCell ref="B22:C22"/>
    <mergeCell ref="D26:E26"/>
    <mergeCell ref="D27:E27"/>
    <mergeCell ref="D28:E28"/>
    <mergeCell ref="D22:E22"/>
    <mergeCell ref="F25:G25"/>
    <mergeCell ref="D25:E25"/>
    <mergeCell ref="B24:C24"/>
    <mergeCell ref="D24:E24"/>
    <mergeCell ref="F24:G24"/>
    <mergeCell ref="A4:G4"/>
    <mergeCell ref="B6:C6"/>
    <mergeCell ref="D6:E6"/>
    <mergeCell ref="F6:G6"/>
    <mergeCell ref="B21:C21"/>
    <mergeCell ref="B20:C20"/>
    <mergeCell ref="D21:E21"/>
    <mergeCell ref="F21:G21"/>
    <mergeCell ref="D20:E20"/>
    <mergeCell ref="F20:G20"/>
    <mergeCell ref="F12:G12"/>
    <mergeCell ref="F8:G8"/>
    <mergeCell ref="F9:G9"/>
    <mergeCell ref="F10:G10"/>
    <mergeCell ref="F11:G11"/>
  </mergeCells>
  <phoneticPr fontId="16" type="noConversion"/>
  <printOptions horizontalCentered="1" gridLinesSet="0"/>
  <pageMargins left="0.39370078740157483" right="0.39370078740157483" top="0.59055118110236227" bottom="0.59055118110236227" header="0.51181102362204722" footer="0.51181102362204722"/>
  <pageSetup scale="95" orientation="portrait" blackAndWhite="1" verticalDpi="144" r:id="rId1"/>
  <ignoredErrors>
    <ignoredError sqref="C17 F15:F16 D15:D1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7"/>
  <dimension ref="A1:F27"/>
  <sheetViews>
    <sheetView showGridLines="0" zoomScale="90" zoomScaleNormal="90" workbookViewId="0">
      <selection activeCell="D23" sqref="D23"/>
    </sheetView>
  </sheetViews>
  <sheetFormatPr baseColWidth="10" defaultColWidth="11.5" defaultRowHeight="13" x14ac:dyDescent="0.15"/>
  <cols>
    <col min="1" max="1" width="28.5" bestFit="1" customWidth="1"/>
    <col min="2" max="2" width="43.5" bestFit="1" customWidth="1"/>
    <col min="3" max="3" width="18.5" bestFit="1" customWidth="1"/>
    <col min="4" max="6" width="15.5" bestFit="1" customWidth="1"/>
  </cols>
  <sheetData>
    <row r="1" spans="1:6" ht="30" customHeight="1" x14ac:dyDescent="0.15">
      <c r="A1" s="118" t="s">
        <v>252</v>
      </c>
    </row>
    <row r="2" spans="1:6" ht="18" x14ac:dyDescent="0.2">
      <c r="A2" s="154" t="s">
        <v>209</v>
      </c>
      <c r="B2" s="154" t="s">
        <v>134</v>
      </c>
      <c r="C2" s="154" t="s">
        <v>210</v>
      </c>
      <c r="D2" s="154">
        <f>'ESTRUCTURA FINANCIERA'!B9</f>
        <v>45657</v>
      </c>
      <c r="E2" s="154">
        <f>'ESTRUCTURA FINANCIERA'!D9</f>
        <v>45291</v>
      </c>
      <c r="F2" s="154">
        <f>'ESTRUCTURA FINANCIERA'!F9</f>
        <v>44926</v>
      </c>
    </row>
    <row r="3" spans="1:6" ht="18" x14ac:dyDescent="0.2">
      <c r="A3" s="250" t="s">
        <v>212</v>
      </c>
      <c r="B3" s="121" t="s">
        <v>213</v>
      </c>
      <c r="C3" s="122">
        <v>1.2</v>
      </c>
      <c r="D3" s="122">
        <f>('ESTRUCTURA FINANCIERA'!B17-'ESTRUCTURA FINANCIERA'!B39)/'ESTRUCTURA FINANCIERA'!B30</f>
        <v>0.10522348549360598</v>
      </c>
      <c r="E3" s="122">
        <f>('ESTRUCTURA FINANCIERA'!D17-'ESTRUCTURA FINANCIERA'!D39)/'ESTRUCTURA FINANCIERA'!D30</f>
        <v>0.1045266634406844</v>
      </c>
      <c r="F3" s="122">
        <f>('ESTRUCTURA FINANCIERA'!F17-'ESTRUCTURA FINANCIERA'!F39)/'ESTRUCTURA FINANCIERA'!F30</f>
        <v>7.5669690580353208E-2</v>
      </c>
    </row>
    <row r="4" spans="1:6" ht="18" x14ac:dyDescent="0.2">
      <c r="A4" s="123" t="s">
        <v>216</v>
      </c>
      <c r="B4" s="121" t="s">
        <v>217</v>
      </c>
      <c r="C4" s="122">
        <v>1.4</v>
      </c>
      <c r="D4" s="122">
        <f>'ESTRUCTURA FINANCIERA'!B54/'ESTRUCTURA FINANCIERA'!B30</f>
        <v>8.5405188706094426E-3</v>
      </c>
      <c r="E4" s="122">
        <f>'ESTRUCTURA FINANCIERA'!D54/'ESTRUCTURA FINANCIERA'!D30</f>
        <v>1.0834252287889321E-2</v>
      </c>
      <c r="F4" s="122">
        <f>'ESTRUCTURA FINANCIERA'!F54/'ESTRUCTURA FINANCIERA'!F30</f>
        <v>9.7179325424905875E-3</v>
      </c>
    </row>
    <row r="5" spans="1:6" ht="18" x14ac:dyDescent="0.2">
      <c r="A5" s="124" t="s">
        <v>220</v>
      </c>
      <c r="B5" s="121" t="s">
        <v>221</v>
      </c>
      <c r="C5" s="122">
        <v>3.3</v>
      </c>
      <c r="D5" s="122">
        <f>'ESTRUCTURA ECONOMICA'!B29/'ESTRUCTURA FINANCIERA'!B30</f>
        <v>9.8481417676227426E-3</v>
      </c>
      <c r="E5" s="122">
        <f>'ESTRUCTURA ECONOMICA'!E29/'ESTRUCTURA FINANCIERA'!D30</f>
        <v>1.2094971478493553E-2</v>
      </c>
      <c r="F5" s="122">
        <f>'ESTRUCTURA ECONOMICA'!G29/'ESTRUCTURA FINANCIERA'!F30</f>
        <v>1.0404320342924404E-2</v>
      </c>
    </row>
    <row r="6" spans="1:6" ht="18" x14ac:dyDescent="0.2">
      <c r="A6" s="123" t="s">
        <v>224</v>
      </c>
      <c r="B6" s="121" t="s">
        <v>225</v>
      </c>
      <c r="C6" s="122">
        <v>0.6</v>
      </c>
      <c r="D6" s="122">
        <f>'ESTRUCTURA FINANCIERA'!B56/'ESTRUCTURA FINANCIERA'!B49</f>
        <v>7.2728941654842533E-2</v>
      </c>
      <c r="E6" s="122">
        <f>'ESTRUCTURA FINANCIERA'!D56/'ESTRUCTURA FINANCIERA'!D49</f>
        <v>7.87638805280471E-2</v>
      </c>
      <c r="F6" s="122">
        <f>'ESTRUCTURA FINANCIERA'!F56/'ESTRUCTURA FINANCIERA'!F49</f>
        <v>5.9917999240584489E-2</v>
      </c>
    </row>
    <row r="7" spans="1:6" ht="18" x14ac:dyDescent="0.2">
      <c r="A7" s="124" t="s">
        <v>228</v>
      </c>
      <c r="B7" s="121" t="s">
        <v>229</v>
      </c>
      <c r="C7" s="122">
        <v>1</v>
      </c>
      <c r="D7" s="122">
        <f>'ESTRUCTURA ECONOMICA'!B10/'ESTRUCTURA FINANCIERA'!B30</f>
        <v>0.10528413215052462</v>
      </c>
      <c r="E7" s="122">
        <f>'ESTRUCTURA ECONOMICA'!E10/'ESTRUCTURA FINANCIERA'!D30</f>
        <v>0.1081949826954763</v>
      </c>
      <c r="F7" s="122">
        <f>'ESTRUCTURA ECONOMICA'!G10/'ESTRUCTURA FINANCIERA'!F30</f>
        <v>8.4992879326080545E-2</v>
      </c>
    </row>
    <row r="8" spans="1:6" ht="18" x14ac:dyDescent="0.2">
      <c r="A8" s="119" t="s">
        <v>230</v>
      </c>
      <c r="B8" s="120" t="s">
        <v>211</v>
      </c>
      <c r="C8" s="120"/>
      <c r="D8" s="125">
        <f>SUMPRODUCT(C3:C7,D3:D7)</f>
        <v>0.31964527398776554</v>
      </c>
      <c r="E8" s="125">
        <f>SUMPRODUCT(C3:C7,E3:E7)</f>
        <v>0.33596666622319959</v>
      </c>
      <c r="F8" s="125">
        <f>SUMPRODUCT(C3:C7,F3:F7)</f>
        <v>0.25968667025799241</v>
      </c>
    </row>
    <row r="9" spans="1:6" ht="7.5" customHeight="1" x14ac:dyDescent="0.15">
      <c r="A9" s="345"/>
      <c r="B9" s="347"/>
      <c r="C9" s="344"/>
      <c r="D9" s="344"/>
      <c r="E9" s="344"/>
      <c r="F9" s="344"/>
    </row>
    <row r="10" spans="1:6" ht="5.25" customHeight="1" x14ac:dyDescent="0.15">
      <c r="A10" s="346"/>
      <c r="B10" s="347"/>
      <c r="C10" s="344"/>
      <c r="D10" s="344"/>
      <c r="E10" s="344"/>
      <c r="F10" s="344"/>
    </row>
    <row r="11" spans="1:6" ht="18" x14ac:dyDescent="0.2">
      <c r="A11" s="124" t="s">
        <v>232</v>
      </c>
      <c r="B11" s="121" t="s">
        <v>233</v>
      </c>
      <c r="C11" s="121">
        <v>0.4</v>
      </c>
      <c r="D11" s="122">
        <f>'ESTRUCTURA FINANCIERA'!B17/'ESTRUCTURA FINANCIERA'!B39</f>
        <v>1.1195862469931144</v>
      </c>
      <c r="E11" s="122">
        <f>'ESTRUCTURA FINANCIERA'!D17/'ESTRUCTURA FINANCIERA'!D39</f>
        <v>1.1190794413059382</v>
      </c>
      <c r="F11" s="122">
        <f>'ESTRUCTURA FINANCIERA'!F17/'ESTRUCTURA FINANCIERA'!F39</f>
        <v>1.0833713031364931</v>
      </c>
    </row>
    <row r="12" spans="1:6" ht="18" x14ac:dyDescent="0.2">
      <c r="A12" s="123" t="s">
        <v>236</v>
      </c>
      <c r="B12" s="121" t="s">
        <v>145</v>
      </c>
      <c r="C12" s="121">
        <v>0.6</v>
      </c>
      <c r="D12" s="122">
        <f>INDICES!B17</f>
        <v>7.2728941654842533E-2</v>
      </c>
      <c r="E12" s="122">
        <f>INDICES!D17</f>
        <v>7.87638805280471E-2</v>
      </c>
      <c r="F12" s="122">
        <f>INDICES!F17</f>
        <v>5.9917999240584489E-2</v>
      </c>
    </row>
    <row r="13" spans="1:6" ht="18" x14ac:dyDescent="0.2">
      <c r="A13" s="126" t="s">
        <v>239</v>
      </c>
      <c r="B13" s="120" t="s">
        <v>240</v>
      </c>
      <c r="C13" s="120"/>
      <c r="D13" s="125">
        <f>SUMPRODUCT(C11:C12,D11:D12)</f>
        <v>0.49147186379015129</v>
      </c>
      <c r="E13" s="125">
        <f>SUMPRODUCT(C11:C12,E11:E12)</f>
        <v>0.49489010483920354</v>
      </c>
      <c r="F13" s="125">
        <f>SUMPRODUCT(C11:C12,F11:F12)</f>
        <v>0.46929932079894798</v>
      </c>
    </row>
    <row r="14" spans="1:6" ht="19" x14ac:dyDescent="0.25">
      <c r="A14" s="113"/>
      <c r="B14" s="113"/>
      <c r="C14" s="113"/>
      <c r="D14" s="113"/>
      <c r="E14" s="113"/>
    </row>
    <row r="15" spans="1:6" ht="19" x14ac:dyDescent="0.25">
      <c r="A15" s="342" t="s">
        <v>243</v>
      </c>
      <c r="B15" s="343"/>
      <c r="C15" s="113"/>
      <c r="D15" s="113"/>
      <c r="E15" s="113"/>
    </row>
    <row r="16" spans="1:6" ht="19" x14ac:dyDescent="0.25">
      <c r="A16" s="342" t="s">
        <v>244</v>
      </c>
      <c r="B16" s="343"/>
      <c r="C16" s="114"/>
      <c r="D16" s="113"/>
      <c r="E16" s="113"/>
    </row>
    <row r="17" spans="1:5" ht="19" x14ac:dyDescent="0.25">
      <c r="A17" s="251"/>
      <c r="B17" s="251"/>
      <c r="C17" s="114"/>
      <c r="D17" s="113"/>
      <c r="E17" s="113"/>
    </row>
    <row r="18" spans="1:5" ht="19" thickBot="1" x14ac:dyDescent="0.25">
      <c r="A18" s="341" t="s">
        <v>211</v>
      </c>
      <c r="B18" s="341"/>
    </row>
    <row r="19" spans="1:5" ht="19" thickBot="1" x14ac:dyDescent="0.25">
      <c r="A19" s="106" t="s">
        <v>214</v>
      </c>
      <c r="B19" s="107" t="s">
        <v>215</v>
      </c>
    </row>
    <row r="20" spans="1:5" ht="18" x14ac:dyDescent="0.2">
      <c r="A20" s="106" t="s">
        <v>218</v>
      </c>
      <c r="B20" s="107" t="s">
        <v>219</v>
      </c>
    </row>
    <row r="21" spans="1:5" ht="18" x14ac:dyDescent="0.2">
      <c r="A21" s="108" t="s">
        <v>222</v>
      </c>
      <c r="B21" s="110" t="s">
        <v>223</v>
      </c>
    </row>
    <row r="22" spans="1:5" ht="18" x14ac:dyDescent="0.2">
      <c r="A22" s="111" t="s">
        <v>226</v>
      </c>
      <c r="B22" s="109" t="s">
        <v>227</v>
      </c>
    </row>
    <row r="23" spans="1:5" ht="18" x14ac:dyDescent="0.2">
      <c r="A23" s="112"/>
      <c r="B23" s="112"/>
    </row>
    <row r="24" spans="1:5" ht="19" thickBot="1" x14ac:dyDescent="0.25">
      <c r="A24" s="341" t="s">
        <v>231</v>
      </c>
      <c r="B24" s="341"/>
    </row>
    <row r="25" spans="1:5" ht="18" x14ac:dyDescent="0.2">
      <c r="A25" s="109" t="s">
        <v>234</v>
      </c>
      <c r="B25" s="109" t="s">
        <v>235</v>
      </c>
    </row>
    <row r="26" spans="1:5" ht="18" x14ac:dyDescent="0.2">
      <c r="A26" s="109" t="s">
        <v>237</v>
      </c>
      <c r="B26" s="109" t="s">
        <v>238</v>
      </c>
    </row>
    <row r="27" spans="1:5" ht="18" x14ac:dyDescent="0.2">
      <c r="A27" s="109" t="s">
        <v>241</v>
      </c>
      <c r="B27" s="109" t="s">
        <v>242</v>
      </c>
    </row>
  </sheetData>
  <mergeCells count="10">
    <mergeCell ref="F9:F10"/>
    <mergeCell ref="A18:B18"/>
    <mergeCell ref="A9:A10"/>
    <mergeCell ref="B9:B10"/>
    <mergeCell ref="C9:C10"/>
    <mergeCell ref="A24:B24"/>
    <mergeCell ref="A15:B15"/>
    <mergeCell ref="A16:B16"/>
    <mergeCell ref="D9:D10"/>
    <mergeCell ref="E9:E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T62"/>
  <sheetViews>
    <sheetView showGridLines="0" topLeftCell="A12" zoomScale="80" zoomScaleNormal="80" workbookViewId="0">
      <selection sqref="A1:F48"/>
    </sheetView>
  </sheetViews>
  <sheetFormatPr baseColWidth="10" defaultColWidth="11.5" defaultRowHeight="13" x14ac:dyDescent="0.15"/>
  <cols>
    <col min="1" max="1" width="43.5" customWidth="1"/>
    <col min="2" max="2" width="15.1640625" style="171" bestFit="1" customWidth="1"/>
    <col min="3" max="3" width="3.5" style="171" customWidth="1"/>
    <col min="4" max="4" width="15.1640625" style="18" bestFit="1" customWidth="1"/>
    <col min="5" max="5" width="3.5" style="18" customWidth="1"/>
    <col min="6" max="6" width="15.1640625" style="18" bestFit="1" customWidth="1"/>
    <col min="7" max="7" width="7.5" hidden="1" customWidth="1"/>
    <col min="8" max="8" width="8" hidden="1" customWidth="1"/>
    <col min="9" max="9" width="7.5" hidden="1" customWidth="1"/>
    <col min="10" max="10" width="8" hidden="1" customWidth="1"/>
    <col min="11" max="11" width="1.33203125" customWidth="1"/>
  </cols>
  <sheetData>
    <row r="1" spans="1:12" ht="12.75" customHeight="1" x14ac:dyDescent="0.15">
      <c r="A1" s="140" t="s">
        <v>253</v>
      </c>
      <c r="C1" s="215"/>
      <c r="D1" s="215"/>
    </row>
    <row r="2" spans="1:12" ht="12.75" customHeight="1" x14ac:dyDescent="0.15">
      <c r="B2" s="215"/>
      <c r="C2" s="215"/>
      <c r="D2" s="215"/>
    </row>
    <row r="3" spans="1:12" ht="12.75" customHeight="1" x14ac:dyDescent="0.15">
      <c r="B3" s="216"/>
      <c r="C3" s="216"/>
      <c r="D3" s="216"/>
      <c r="E3" s="172"/>
      <c r="F3" s="172"/>
      <c r="G3" s="30"/>
      <c r="H3" s="30"/>
      <c r="I3" s="30"/>
      <c r="J3" s="30"/>
    </row>
    <row r="4" spans="1:12" ht="14" thickBot="1" x14ac:dyDescent="0.2">
      <c r="A4" s="155" t="s">
        <v>134</v>
      </c>
      <c r="B4" s="173">
        <f>'ESTRUCTURA ECONOMICA'!B8</f>
        <v>45657</v>
      </c>
      <c r="C4" s="173"/>
      <c r="D4" s="173">
        <f>'ESTRUCTURA FINANCIERA'!D9</f>
        <v>45291</v>
      </c>
      <c r="E4" s="173"/>
      <c r="F4" s="174">
        <f>'ESTRUCTURA ECONOMICA'!G8</f>
        <v>44926</v>
      </c>
      <c r="G4" s="91"/>
      <c r="H4" s="31"/>
      <c r="I4" s="31"/>
      <c r="J4" s="31"/>
      <c r="K4" s="32">
        <v>0</v>
      </c>
    </row>
    <row r="5" spans="1:12" x14ac:dyDescent="0.15">
      <c r="A5" s="128" t="s">
        <v>135</v>
      </c>
      <c r="B5" s="175">
        <f>'ESTRUCTURA FINANCIERA'!B17-'ESTRUCTURA FINANCIERA'!B39</f>
        <v>7292757333</v>
      </c>
      <c r="C5" s="176"/>
      <c r="D5" s="175">
        <f>'ESTRUCTURA FINANCIERA'!D17-'ESTRUCTURA FINANCIERA'!D39</f>
        <v>5850585431</v>
      </c>
      <c r="E5" s="176"/>
      <c r="F5" s="177">
        <f>'ESTRUCTURA FINANCIERA'!F17-'ESTRUCTURA FINANCIERA'!F39</f>
        <v>3879631721</v>
      </c>
      <c r="G5" s="92"/>
      <c r="H5" s="33">
        <f>'ESTRUCTURA FINANCIERA'!H24-'ESTRUCTURA FINANCIERA'!H47</f>
        <v>0</v>
      </c>
      <c r="I5" s="33"/>
      <c r="J5" s="33">
        <f>'ESTRUCTURA FINANCIERA'!J24-'ESTRUCTURA FINANCIERA'!J47</f>
        <v>0</v>
      </c>
      <c r="K5" s="34">
        <v>0</v>
      </c>
    </row>
    <row r="6" spans="1:12" x14ac:dyDescent="0.15">
      <c r="A6" s="35"/>
      <c r="B6" s="178"/>
      <c r="C6" s="179"/>
      <c r="D6" s="180"/>
      <c r="E6" s="179"/>
      <c r="F6" s="181"/>
      <c r="G6" s="93"/>
      <c r="H6" s="35"/>
      <c r="I6" s="35"/>
      <c r="J6" s="35"/>
      <c r="K6" s="37"/>
    </row>
    <row r="7" spans="1:12" x14ac:dyDescent="0.15">
      <c r="A7" s="155" t="s">
        <v>136</v>
      </c>
      <c r="B7" s="173">
        <f>B4</f>
        <v>45657</v>
      </c>
      <c r="C7" s="182"/>
      <c r="D7" s="173">
        <f t="shared" ref="D7:K7" si="0">D4</f>
        <v>45291</v>
      </c>
      <c r="E7" s="182"/>
      <c r="F7" s="174">
        <f t="shared" si="0"/>
        <v>44926</v>
      </c>
      <c r="G7" s="91"/>
      <c r="H7" s="31">
        <f t="shared" si="0"/>
        <v>0</v>
      </c>
      <c r="I7" s="31"/>
      <c r="J7" s="31">
        <f t="shared" si="0"/>
        <v>0</v>
      </c>
      <c r="K7" s="32">
        <f t="shared" si="0"/>
        <v>0</v>
      </c>
    </row>
    <row r="8" spans="1:12" x14ac:dyDescent="0.15">
      <c r="A8" s="35" t="s">
        <v>137</v>
      </c>
      <c r="B8" s="178">
        <f>'ESTRUCTURA FINANCIERA'!B17/'ESTRUCTURA FINANCIERA'!B39</f>
        <v>1.1195862469931144</v>
      </c>
      <c r="C8" s="179"/>
      <c r="D8" s="178">
        <f>'ESTRUCTURA FINANCIERA'!D17/'ESTRUCTURA FINANCIERA'!D39</f>
        <v>1.1190794413059382</v>
      </c>
      <c r="E8" s="179"/>
      <c r="F8" s="183">
        <f>'ESTRUCTURA FINANCIERA'!F17/'ESTRUCTURA FINANCIERA'!F39</f>
        <v>1.0833713031364931</v>
      </c>
      <c r="G8" s="94"/>
      <c r="H8" s="36" t="e">
        <f>'ESTRUCTURA FINANCIERA'!H24/'ESTRUCTURA FINANCIERA'!H47</f>
        <v>#DIV/0!</v>
      </c>
      <c r="I8" s="65"/>
      <c r="J8" s="36" t="e">
        <f>'ESTRUCTURA FINANCIERA'!J24/'ESTRUCTURA FINANCIERA'!J47</f>
        <v>#DIV/0!</v>
      </c>
      <c r="K8" s="38" t="e">
        <v>#DIV/0!</v>
      </c>
    </row>
    <row r="9" spans="1:12" x14ac:dyDescent="0.15">
      <c r="A9" s="35" t="s">
        <v>138</v>
      </c>
      <c r="B9" s="178">
        <f>('ESTRUCTURA FINANCIERA'!B17-'ESTRUCTURA FINANCIERA'!B15)/'ESTRUCTURA FINANCIERA'!B39</f>
        <v>1.1192612118268255</v>
      </c>
      <c r="C9" s="179"/>
      <c r="D9" s="178">
        <f>('ESTRUCTURA FINANCIERA'!D17-'ESTRUCTURA FINANCIERA'!D15)/'ESTRUCTURA FINANCIERA'!D39</f>
        <v>1.117520675875167</v>
      </c>
      <c r="E9" s="179"/>
      <c r="F9" s="183">
        <f>('ESTRUCTURA FINANCIERA'!F17-'ESTRUCTURA FINANCIERA'!F15)/'ESTRUCTURA FINANCIERA'!F39</f>
        <v>1.0809392432646712</v>
      </c>
      <c r="G9" s="95"/>
      <c r="H9" s="39" t="e">
        <f>('ESTRUCTURA FINANCIERA'!H24-'ESTRUCTURA FINANCIERA'!H22)/'ESTRUCTURA FINANCIERA'!H47</f>
        <v>#DIV/0!</v>
      </c>
      <c r="I9" s="66"/>
      <c r="J9" s="39" t="e">
        <f>('ESTRUCTURA FINANCIERA'!J24-'ESTRUCTURA FINANCIERA'!J22)/'ESTRUCTURA FINANCIERA'!J47</f>
        <v>#DIV/0!</v>
      </c>
      <c r="K9" s="40" t="e">
        <v>#DIV/0!</v>
      </c>
    </row>
    <row r="10" spans="1:12" x14ac:dyDescent="0.15">
      <c r="A10" s="35" t="s">
        <v>139</v>
      </c>
      <c r="B10" s="178">
        <f>('ESTRUCTURA FINANCIERA'!B10+'ESTRUCTURA FINANCIERA'!B11)/'ESTRUCTURA FINANCIERA'!B39</f>
        <v>0.47251643279771471</v>
      </c>
      <c r="C10" s="179"/>
      <c r="D10" s="178">
        <f>('ESTRUCTURA FINANCIERA'!D10+'ESTRUCTURA FINANCIERA'!D11)/'ESTRUCTURA FINANCIERA'!D39</f>
        <v>0.48527216846398652</v>
      </c>
      <c r="E10" s="179"/>
      <c r="F10" s="183">
        <f>('ESTRUCTURA FINANCIERA'!F10+'ESTRUCTURA FINANCIERA'!F11)/'ESTRUCTURA FINANCIERA'!F39</f>
        <v>0.50255516337650274</v>
      </c>
      <c r="G10" s="94"/>
      <c r="H10" s="36" t="e">
        <f>('ESTRUCTURA FINANCIERA'!H17+'ESTRUCTURA FINANCIERA'!H18)/'ESTRUCTURA FINANCIERA'!H47</f>
        <v>#DIV/0!</v>
      </c>
      <c r="I10" s="65"/>
      <c r="J10" s="36" t="e">
        <f>('ESTRUCTURA FINANCIERA'!J17+'ESTRUCTURA FINANCIERA'!J18)/'ESTRUCTURA FINANCIERA'!J47</f>
        <v>#DIV/0!</v>
      </c>
      <c r="K10" s="38" t="e">
        <v>#DIV/0!</v>
      </c>
    </row>
    <row r="11" spans="1:12" x14ac:dyDescent="0.15">
      <c r="A11" s="35" t="s">
        <v>140</v>
      </c>
      <c r="B11" s="184">
        <f>B5/'ESTRUCTURA FINANCIERA'!B30</f>
        <v>0.10522348549360598</v>
      </c>
      <c r="C11" s="185"/>
      <c r="D11" s="184">
        <f>D5/'ESTRUCTURA FINANCIERA'!D30</f>
        <v>0.1045266634406844</v>
      </c>
      <c r="E11" s="185"/>
      <c r="F11" s="186">
        <f>F5/'ESTRUCTURA FINANCIERA'!F30</f>
        <v>7.5669690580353208E-2</v>
      </c>
      <c r="G11" s="95"/>
      <c r="H11" s="41" t="e">
        <f>H5/'ESTRUCTURA FINANCIERA'!H38</f>
        <v>#DIV/0!</v>
      </c>
      <c r="I11" s="66"/>
      <c r="J11" s="41" t="e">
        <f>J5/'ESTRUCTURA FINANCIERA'!J38</f>
        <v>#DIV/0!</v>
      </c>
      <c r="K11" s="40" t="e">
        <v>#DIV/0!</v>
      </c>
    </row>
    <row r="12" spans="1:12" x14ac:dyDescent="0.15">
      <c r="A12" s="35"/>
      <c r="B12" s="178"/>
      <c r="C12" s="179"/>
      <c r="D12" s="180"/>
      <c r="E12" s="179"/>
      <c r="F12" s="181"/>
      <c r="G12" s="93"/>
      <c r="H12" s="35"/>
      <c r="I12" s="35"/>
      <c r="J12" s="35"/>
      <c r="K12" s="37"/>
    </row>
    <row r="13" spans="1:12" x14ac:dyDescent="0.15">
      <c r="A13" s="156" t="s">
        <v>141</v>
      </c>
      <c r="B13" s="187">
        <f>B4</f>
        <v>45657</v>
      </c>
      <c r="C13" s="182"/>
      <c r="D13" s="187">
        <f t="shared" ref="D13:K13" si="1">D4</f>
        <v>45291</v>
      </c>
      <c r="E13" s="182"/>
      <c r="F13" s="188">
        <f t="shared" si="1"/>
        <v>44926</v>
      </c>
      <c r="G13" s="96"/>
      <c r="H13" s="42">
        <f t="shared" si="1"/>
        <v>0</v>
      </c>
      <c r="I13" s="42"/>
      <c r="J13" s="42">
        <f t="shared" si="1"/>
        <v>0</v>
      </c>
      <c r="K13" s="43">
        <f t="shared" si="1"/>
        <v>0</v>
      </c>
    </row>
    <row r="14" spans="1:12" x14ac:dyDescent="0.15">
      <c r="A14" s="35" t="s">
        <v>142</v>
      </c>
      <c r="B14" s="178">
        <f>'ESTRUCTURA FINANCIERA'!B49/'ESTRUCTURA FINANCIERA'!B30</f>
        <v>0.93220193952943287</v>
      </c>
      <c r="C14" s="179"/>
      <c r="D14" s="178">
        <f>'ESTRUCTURA FINANCIERA'!D49/'ESTRUCTURA FINANCIERA'!D30</f>
        <v>0.92698691349445927</v>
      </c>
      <c r="E14" s="179"/>
      <c r="F14" s="183">
        <f>'ESTRUCTURA FINANCIERA'!F49/'ESTRUCTURA FINANCIERA'!F30</f>
        <v>0.94346921244519399</v>
      </c>
      <c r="G14" s="94"/>
      <c r="H14" s="36" t="e">
        <f>'ESTRUCTURA FINANCIERA'!H57/'ESTRUCTURA FINANCIERA'!H38</f>
        <v>#DIV/0!</v>
      </c>
      <c r="I14" s="65"/>
      <c r="J14" s="36" t="e">
        <f>'ESTRUCTURA FINANCIERA'!J57/'ESTRUCTURA FINANCIERA'!J38</f>
        <v>#DIV/0!</v>
      </c>
      <c r="K14" s="38" t="e">
        <v>#DIV/0!</v>
      </c>
    </row>
    <row r="15" spans="1:12" x14ac:dyDescent="0.15">
      <c r="A15" s="35" t="s">
        <v>143</v>
      </c>
      <c r="B15" s="178">
        <f>'ESTRUCTURA FINANCIERA'!B56/'ESTRUCTURA FINANCIERA'!B30</f>
        <v>6.7798060470567162E-2</v>
      </c>
      <c r="C15" s="179"/>
      <c r="D15" s="178">
        <f>'ESTRUCTURA FINANCIERA'!D56/'ESTRUCTURA FINANCIERA'!D30</f>
        <v>7.3013086505540725E-2</v>
      </c>
      <c r="E15" s="179"/>
      <c r="F15" s="183">
        <f>'ESTRUCTURA FINANCIERA'!F56/'ESTRUCTURA FINANCIERA'!F30</f>
        <v>5.6530787554805978E-2</v>
      </c>
      <c r="G15" s="95"/>
      <c r="H15" s="39" t="e">
        <f>'ESTRUCTURA FINANCIERA'!H64/'ESTRUCTURA FINANCIERA'!H38</f>
        <v>#DIV/0!</v>
      </c>
      <c r="I15" s="66"/>
      <c r="J15" s="39" t="e">
        <f>'ESTRUCTURA FINANCIERA'!J64/'ESTRUCTURA FINANCIERA'!J38</f>
        <v>#DIV/0!</v>
      </c>
      <c r="K15" s="40" t="e">
        <v>#DIV/0!</v>
      </c>
      <c r="L15" s="282"/>
    </row>
    <row r="16" spans="1:12" x14ac:dyDescent="0.15">
      <c r="A16" s="35" t="s">
        <v>144</v>
      </c>
      <c r="B16" s="178">
        <f>'ESTRUCTURA FINANCIERA'!B49/'ESTRUCTURA FINANCIERA'!B56</f>
        <v>13.74968447562191</v>
      </c>
      <c r="C16" s="179"/>
      <c r="D16" s="178">
        <f>'ESTRUCTURA FINANCIERA'!D49/'ESTRUCTURA FINANCIERA'!D56</f>
        <v>12.696174862079188</v>
      </c>
      <c r="E16" s="179"/>
      <c r="F16" s="183">
        <f>'ESTRUCTURA FINANCIERA'!F49/'ESTRUCTURA FINANCIERA'!F56</f>
        <v>16.689475828202657</v>
      </c>
      <c r="G16" s="94"/>
      <c r="H16" s="36" t="e">
        <f>'ESTRUCTURA FINANCIERA'!H57/'ESTRUCTURA FINANCIERA'!H64</f>
        <v>#DIV/0!</v>
      </c>
      <c r="I16" s="65"/>
      <c r="J16" s="36" t="e">
        <f>'ESTRUCTURA FINANCIERA'!J57/'ESTRUCTURA FINANCIERA'!J64</f>
        <v>#DIV/0!</v>
      </c>
      <c r="K16" s="38" t="e">
        <v>#DIV/0!</v>
      </c>
    </row>
    <row r="17" spans="1:20" x14ac:dyDescent="0.15">
      <c r="A17" s="35" t="s">
        <v>145</v>
      </c>
      <c r="B17" s="178">
        <f>'ESTRUCTURA FINANCIERA'!B56/'ESTRUCTURA FINANCIERA'!B49</f>
        <v>7.2728941654842533E-2</v>
      </c>
      <c r="C17" s="179"/>
      <c r="D17" s="178">
        <f>'ESTRUCTURA FINANCIERA'!D56/'ESTRUCTURA FINANCIERA'!D49</f>
        <v>7.87638805280471E-2</v>
      </c>
      <c r="E17" s="179"/>
      <c r="F17" s="183">
        <f>'ESTRUCTURA FINANCIERA'!F56/'ESTRUCTURA FINANCIERA'!F49</f>
        <v>5.9917999240584489E-2</v>
      </c>
      <c r="G17" s="95"/>
      <c r="H17" s="39" t="e">
        <f>'ESTRUCTURA FINANCIERA'!H64/'ESTRUCTURA FINANCIERA'!H57</f>
        <v>#DIV/0!</v>
      </c>
      <c r="I17" s="66"/>
      <c r="J17" s="39" t="e">
        <f>'ESTRUCTURA FINANCIERA'!J64/'ESTRUCTURA FINANCIERA'!J57</f>
        <v>#DIV/0!</v>
      </c>
      <c r="K17" s="40" t="e">
        <v>#DIV/0!</v>
      </c>
    </row>
    <row r="18" spans="1:20" x14ac:dyDescent="0.15">
      <c r="A18" s="35" t="s">
        <v>146</v>
      </c>
      <c r="B18" s="178">
        <f>'ESTRUCTURA FINANCIERA'!B48/('ESTRUCTURA FINANCIERA'!B56+'ESTRUCTURA FINANCIERA'!B48)</f>
        <v>0.43550440454192274</v>
      </c>
      <c r="C18" s="179"/>
      <c r="D18" s="178">
        <f>'ESTRUCTURA FINANCIERA'!D48/('ESTRUCTURA FINANCIERA'!D56+'ESTRUCTURA FINANCIERA'!D48)</f>
        <v>0.40256371466642588</v>
      </c>
      <c r="E18" s="179"/>
      <c r="F18" s="183">
        <f>'ESTRUCTURA FINANCIERA'!F48/('ESTRUCTURA FINANCIERA'!F56+'ESTRUCTURA FINANCIERA'!F48)</f>
        <v>0.38804433598530902</v>
      </c>
      <c r="G18" s="94"/>
      <c r="H18" s="36" t="e">
        <f>'ESTRUCTURA FINANCIERA'!H56/('ESTRUCTURA FINANCIERA'!H64+'ESTRUCTURA FINANCIERA'!H56)</f>
        <v>#DIV/0!</v>
      </c>
      <c r="I18" s="65"/>
      <c r="J18" s="36" t="e">
        <f>'ESTRUCTURA FINANCIERA'!J56/('ESTRUCTURA FINANCIERA'!J64+'ESTRUCTURA FINANCIERA'!J56)</f>
        <v>#DIV/0!</v>
      </c>
      <c r="K18" s="38" t="e">
        <v>#DIV/0!</v>
      </c>
    </row>
    <row r="19" spans="1:20" x14ac:dyDescent="0.15">
      <c r="A19" s="35" t="s">
        <v>147</v>
      </c>
      <c r="B19" s="178">
        <f>'ESTRUCTURA FINANCIERA'!B56/('ESTRUCTURA FINANCIERA'!B56+'ESTRUCTURA FINANCIERA'!B48)</f>
        <v>0.56449559545807726</v>
      </c>
      <c r="C19" s="179"/>
      <c r="D19" s="178">
        <f>'ESTRUCTURA FINANCIERA'!D56/('ESTRUCTURA FINANCIERA'!D56+'ESTRUCTURA FINANCIERA'!D48)</f>
        <v>0.59743628533357407</v>
      </c>
      <c r="E19" s="179"/>
      <c r="F19" s="183">
        <f>'ESTRUCTURA FINANCIERA'!F56/('ESTRUCTURA FINANCIERA'!F56+'ESTRUCTURA FINANCIERA'!F48)</f>
        <v>0.61195566401469093</v>
      </c>
      <c r="G19" s="95"/>
      <c r="H19" s="39" t="e">
        <f>'ESTRUCTURA FINANCIERA'!H64/('ESTRUCTURA FINANCIERA'!H64+'ESTRUCTURA FINANCIERA'!H56)</f>
        <v>#DIV/0!</v>
      </c>
      <c r="I19" s="66"/>
      <c r="J19" s="39" t="e">
        <f>'ESTRUCTURA FINANCIERA'!J64/('ESTRUCTURA FINANCIERA'!J64+'ESTRUCTURA FINANCIERA'!J56)</f>
        <v>#DIV/0!</v>
      </c>
      <c r="K19" s="40" t="e">
        <v>#DIV/0!</v>
      </c>
    </row>
    <row r="20" spans="1:20" x14ac:dyDescent="0.15">
      <c r="A20" s="283" t="s">
        <v>285</v>
      </c>
      <c r="B20" s="178">
        <f>('ESTRUCTURA FINANCIERA'!B49+'ESTRUCTURA FINANCIERA'!B55)/'ESTRUCTURA FINANCIERA'!B30</f>
        <v>0.93220193952943287</v>
      </c>
      <c r="C20" s="179"/>
      <c r="D20" s="178">
        <f>('ESTRUCTURA FINANCIERA'!D49+'ESTRUCTURA FINANCIERA'!D55)/'ESTRUCTURA FINANCIERA'!D30</f>
        <v>0.92698691349445927</v>
      </c>
      <c r="E20" s="179"/>
      <c r="F20" s="183">
        <f>('ESTRUCTURA FINANCIERA'!F49+'ESTRUCTURA FINANCIERA'!F55)/'ESTRUCTURA FINANCIERA'!F30</f>
        <v>0.94346921244519399</v>
      </c>
      <c r="G20" s="95"/>
      <c r="H20" s="39"/>
      <c r="I20" s="66"/>
      <c r="J20" s="39"/>
      <c r="K20" s="40"/>
      <c r="L20" s="282"/>
      <c r="M20" s="282"/>
      <c r="N20" s="282"/>
      <c r="O20" s="282"/>
      <c r="P20" s="282"/>
    </row>
    <row r="21" spans="1:20" x14ac:dyDescent="0.15">
      <c r="A21" s="283" t="s">
        <v>286</v>
      </c>
      <c r="B21" s="178">
        <f>('ESTRUCTURA FINANCIERA'!B56-'ESTRUCTURA FINANCIERA'!B55)/'ESTRUCTURA FINANCIERA'!B30</f>
        <v>6.7798060470567162E-2</v>
      </c>
      <c r="C21" s="179"/>
      <c r="D21" s="178">
        <f>('ESTRUCTURA FINANCIERA'!D56-'ESTRUCTURA FINANCIERA'!D55)/'ESTRUCTURA FINANCIERA'!D30</f>
        <v>7.3013086505540725E-2</v>
      </c>
      <c r="E21" s="179"/>
      <c r="F21" s="183">
        <f>('ESTRUCTURA FINANCIERA'!F56-'ESTRUCTURA FINANCIERA'!F55)/'ESTRUCTURA FINANCIERA'!F30</f>
        <v>5.6530787554805978E-2</v>
      </c>
      <c r="G21" s="95"/>
      <c r="H21" s="39"/>
      <c r="I21" s="66"/>
      <c r="J21" s="39"/>
      <c r="K21" s="40"/>
    </row>
    <row r="22" spans="1:20" x14ac:dyDescent="0.15">
      <c r="A22" s="283" t="s">
        <v>287</v>
      </c>
      <c r="B22" s="178">
        <f>('ESTRUCTURA FINANCIERA'!B49)/('ESTRUCTURA FINANCIERA'!B56-'ESTRUCTURA FINANCIERA'!B55)</f>
        <v>13.74968447562191</v>
      </c>
      <c r="C22" s="179"/>
      <c r="D22" s="178">
        <f>('ESTRUCTURA FINANCIERA'!D49)/('ESTRUCTURA FINANCIERA'!D56-'ESTRUCTURA FINANCIERA'!D55)</f>
        <v>12.696174862079188</v>
      </c>
      <c r="E22" s="179"/>
      <c r="F22" s="183">
        <f>('ESTRUCTURA FINANCIERA'!F49)/('ESTRUCTURA FINANCIERA'!F56-'ESTRUCTURA FINANCIERA'!F55)</f>
        <v>16.689475828202657</v>
      </c>
      <c r="G22" s="95"/>
      <c r="H22" s="39"/>
      <c r="I22" s="66"/>
      <c r="J22" s="39"/>
      <c r="K22" s="40"/>
    </row>
    <row r="23" spans="1:20" x14ac:dyDescent="0.15">
      <c r="A23" s="283" t="s">
        <v>288</v>
      </c>
      <c r="B23" s="178">
        <f>('ESTRUCTURA FINANCIERA'!B56-'ESTRUCTURA FINANCIERA'!B55)/'ESTRUCTURA FINANCIERA'!B49</f>
        <v>7.2728941654842533E-2</v>
      </c>
      <c r="C23" s="179"/>
      <c r="D23" s="178">
        <f>('ESTRUCTURA FINANCIERA'!D56-'ESTRUCTURA FINANCIERA'!D55)/'ESTRUCTURA FINANCIERA'!D49</f>
        <v>7.87638805280471E-2</v>
      </c>
      <c r="E23" s="179"/>
      <c r="F23" s="183">
        <f>('ESTRUCTURA FINANCIERA'!F56-'ESTRUCTURA FINANCIERA'!F55)/'ESTRUCTURA FINANCIERA'!F49</f>
        <v>5.9917999240584489E-2</v>
      </c>
      <c r="G23" s="95"/>
      <c r="H23" s="39"/>
      <c r="I23" s="66"/>
      <c r="J23" s="39"/>
      <c r="K23" s="40"/>
    </row>
    <row r="24" spans="1:20" x14ac:dyDescent="0.15">
      <c r="A24" s="283" t="s">
        <v>289</v>
      </c>
      <c r="B24" s="178">
        <f>'ESTRUCTURA FINANCIERA'!B48/('ESTRUCTURA FINANCIERA'!B56+'ESTRUCTURA FINANCIERA'!B48-'ESTRUCTURA FINANCIERA'!B55)</f>
        <v>0.43550440454192274</v>
      </c>
      <c r="C24" s="179"/>
      <c r="D24" s="178">
        <f>'ESTRUCTURA FINANCIERA'!D48/('ESTRUCTURA FINANCIERA'!D56+'ESTRUCTURA FINANCIERA'!D48-'ESTRUCTURA FINANCIERA'!D55)</f>
        <v>0.40256371466642588</v>
      </c>
      <c r="E24" s="179"/>
      <c r="F24" s="183">
        <f>'ESTRUCTURA FINANCIERA'!F48/('ESTRUCTURA FINANCIERA'!F56+'ESTRUCTURA FINANCIERA'!F48-'ESTRUCTURA FINANCIERA'!F55)</f>
        <v>0.38804433598530902</v>
      </c>
      <c r="G24" s="95"/>
      <c r="H24" s="39"/>
      <c r="I24" s="66"/>
      <c r="J24" s="39"/>
      <c r="K24" s="40"/>
    </row>
    <row r="25" spans="1:20" x14ac:dyDescent="0.15">
      <c r="A25" s="283" t="s">
        <v>290</v>
      </c>
      <c r="B25" s="178">
        <f>('ESTRUCTURA FINANCIERA'!B56-'ESTRUCTURA FINANCIERA'!B55)/('ESTRUCTURA FINANCIERA'!B56+'ESTRUCTURA FINANCIERA'!B48-'ESTRUCTURA FINANCIERA'!B55)</f>
        <v>0.56449559545807726</v>
      </c>
      <c r="C25" s="179"/>
      <c r="D25" s="178">
        <f>('ESTRUCTURA FINANCIERA'!D56-'ESTRUCTURA FINANCIERA'!D55)/('ESTRUCTURA FINANCIERA'!D56+'ESTRUCTURA FINANCIERA'!D48-'ESTRUCTURA FINANCIERA'!D55)</f>
        <v>0.59743628533357407</v>
      </c>
      <c r="E25" s="179"/>
      <c r="F25" s="183">
        <f>('ESTRUCTURA FINANCIERA'!F56-'ESTRUCTURA FINANCIERA'!F55)/('ESTRUCTURA FINANCIERA'!F56+'ESTRUCTURA FINANCIERA'!F48-'ESTRUCTURA FINANCIERA'!F55)</f>
        <v>0.61195566401469093</v>
      </c>
      <c r="G25" s="95"/>
      <c r="H25" s="39"/>
      <c r="I25" s="66"/>
      <c r="J25" s="39"/>
      <c r="K25" s="40"/>
      <c r="L25" s="282"/>
      <c r="M25" s="282"/>
      <c r="N25" s="282"/>
      <c r="O25" s="282"/>
      <c r="P25" s="282"/>
      <c r="Q25" s="282"/>
      <c r="R25" s="282"/>
      <c r="S25" s="282"/>
      <c r="T25" s="282"/>
    </row>
    <row r="26" spans="1:20" x14ac:dyDescent="0.15">
      <c r="A26" s="35"/>
      <c r="B26" s="178"/>
      <c r="C26" s="179"/>
      <c r="D26" s="180"/>
      <c r="E26" s="179"/>
      <c r="F26" s="181"/>
      <c r="G26" s="93"/>
      <c r="H26" s="35"/>
      <c r="I26" s="35"/>
      <c r="J26" s="35"/>
      <c r="K26" s="37"/>
    </row>
    <row r="27" spans="1:20" x14ac:dyDescent="0.15">
      <c r="A27" s="129" t="s">
        <v>113</v>
      </c>
      <c r="B27" s="187">
        <f>B4</f>
        <v>45657</v>
      </c>
      <c r="C27" s="182"/>
      <c r="D27" s="187">
        <f>D4</f>
        <v>45291</v>
      </c>
      <c r="E27" s="182"/>
      <c r="F27" s="188">
        <f>F4</f>
        <v>44926</v>
      </c>
      <c r="G27" s="96"/>
      <c r="H27" s="42">
        <f>H4</f>
        <v>0</v>
      </c>
      <c r="I27" s="42"/>
      <c r="J27" s="42">
        <f>J4</f>
        <v>0</v>
      </c>
      <c r="K27" s="43">
        <f>K4</f>
        <v>0</v>
      </c>
    </row>
    <row r="28" spans="1:20" x14ac:dyDescent="0.15">
      <c r="A28" s="35" t="s">
        <v>148</v>
      </c>
      <c r="B28" s="189">
        <f>'ESTRUCTURA ECONOMICA'!B15/'ESTRUCTURA FINANCIERA'!B15</f>
        <v>227.75249866320743</v>
      </c>
      <c r="C28" s="190"/>
      <c r="D28" s="189">
        <f>'ESTRUCTURA ECONOMICA'!E15/'ESTRUCTURA FINANCIERA'!D15</f>
        <v>48.296657918078317</v>
      </c>
      <c r="E28" s="190"/>
      <c r="F28" s="191">
        <f>'ESTRUCTURA ECONOMICA'!G15/'ESTRUCTURA FINANCIERA'!F15</f>
        <v>24.228847783614796</v>
      </c>
      <c r="G28" s="97"/>
      <c r="H28" s="44">
        <f>'ESTRUCTURA ECONOMICA'!H10/'ESTRUCTURA ECONOMICA'!H15</f>
        <v>1.5891692401683892</v>
      </c>
      <c r="I28" s="67"/>
      <c r="J28" s="44" t="e">
        <f>'ESTRUCTURA ECONOMICA'!J15/'ESTRUCTURA ECONOMICA'!J23</f>
        <v>#DIV/0!</v>
      </c>
      <c r="K28" s="45" t="e">
        <v>#DIV/0!</v>
      </c>
    </row>
    <row r="29" spans="1:20" x14ac:dyDescent="0.15">
      <c r="A29" s="35" t="s">
        <v>149</v>
      </c>
      <c r="B29" s="189">
        <f>IF('CAPITAL DE TRABAJO'!AL7=2,365,30)/B28</f>
        <v>0.13172193576836655</v>
      </c>
      <c r="C29" s="179"/>
      <c r="D29" s="189">
        <f>IF('CAPITAL DE TRABAJO'!AL7=2,365,30)/D28</f>
        <v>0.62116099318686924</v>
      </c>
      <c r="E29" s="179"/>
      <c r="F29" s="192">
        <f>IF('CAPITAL DE TRABAJO'!AL7=2,365,30)/F28</f>
        <v>1.238193424133361</v>
      </c>
      <c r="G29" s="98"/>
      <c r="H29" s="46">
        <f t="shared" ref="H29:K29" si="2">360/H28</f>
        <v>226.53345590923607</v>
      </c>
      <c r="I29" s="46"/>
      <c r="J29" s="46" t="e">
        <f t="shared" si="2"/>
        <v>#DIV/0!</v>
      </c>
      <c r="K29" s="47" t="e">
        <f t="shared" si="2"/>
        <v>#DIV/0!</v>
      </c>
    </row>
    <row r="30" spans="1:20" x14ac:dyDescent="0.15">
      <c r="A30" s="35" t="s">
        <v>150</v>
      </c>
      <c r="B30" s="178">
        <f>'ESTRUCTURA ECONOMICA'!B10/('ESTRUCTURA FINANCIERA'!B12+'ESTRUCTURA FINANCIERA'!B13)</f>
        <v>0.18725341738360465</v>
      </c>
      <c r="C30" s="179"/>
      <c r="D30" s="178">
        <f>'ESTRUCTURA ECONOMICA'!E10/('ESTRUCTURA FINANCIERA'!D12+'ESTRUCTURA FINANCIERA'!D13)</f>
        <v>0.1964312385779439</v>
      </c>
      <c r="E30" s="179"/>
      <c r="F30" s="183">
        <f>'ESTRUCTURA ECONOMICA'!G10/('ESTRUCTURA FINANCIERA'!F12+'ESTRUCTURA FINANCIERA'!F13)</f>
        <v>0.16268338836530563</v>
      </c>
      <c r="G30" s="97"/>
      <c r="H30" s="36" t="e">
        <f>'ESTRUCTURA ECONOMICA'!I15/'ESTRUCTURA FINANCIERA'!H19</f>
        <v>#DIV/0!</v>
      </c>
      <c r="I30" s="67"/>
      <c r="J30" s="36" t="e">
        <f>'ESTRUCTURA ECONOMICA'!K15/'ESTRUCTURA FINANCIERA'!J19</f>
        <v>#DIV/0!</v>
      </c>
      <c r="K30" s="45" t="e">
        <v>#DIV/0!</v>
      </c>
    </row>
    <row r="31" spans="1:20" x14ac:dyDescent="0.15">
      <c r="A31" s="35" t="s">
        <v>151</v>
      </c>
      <c r="B31" s="189">
        <f>IF('CAPITAL DE TRABAJO'!AL7=2,365,30)/B30</f>
        <v>160.21069425153632</v>
      </c>
      <c r="C31" s="179"/>
      <c r="D31" s="193">
        <f>IF('CAPITAL DE TRABAJO'!AL7=2,365,30)/D30</f>
        <v>152.72519899168688</v>
      </c>
      <c r="E31" s="179"/>
      <c r="F31" s="192">
        <f>IF('CAPITAL DE TRABAJO'!AL7=2,365,30)/F30</f>
        <v>184.407272933331</v>
      </c>
      <c r="G31" s="98"/>
      <c r="H31" s="46" t="e">
        <f t="shared" ref="H31:K31" si="3">360/H30</f>
        <v>#DIV/0!</v>
      </c>
      <c r="I31" s="46"/>
      <c r="J31" s="46" t="e">
        <f t="shared" si="3"/>
        <v>#DIV/0!</v>
      </c>
      <c r="K31" s="47" t="e">
        <f t="shared" si="3"/>
        <v>#DIV/0!</v>
      </c>
    </row>
    <row r="32" spans="1:20" x14ac:dyDescent="0.15">
      <c r="A32" s="35" t="s">
        <v>152</v>
      </c>
      <c r="B32" s="178">
        <f>'ESTRUCTURA ECONOMICA'!B10/'ESTRUCTURA FINANCIERA'!B23</f>
        <v>18.347636869062576</v>
      </c>
      <c r="C32" s="179"/>
      <c r="D32" s="178">
        <f>'ESTRUCTURA ECONOMICA'!E10/'ESTRUCTURA FINANCIERA'!D23</f>
        <v>17.686096389472134</v>
      </c>
      <c r="E32" s="179"/>
      <c r="F32" s="183">
        <f>'ESTRUCTURA ECONOMICA'!G10/'ESTRUCTURA FINANCIERA'!F23</f>
        <v>15.972827190146102</v>
      </c>
      <c r="G32" s="97"/>
      <c r="H32" s="36" t="e">
        <f>'ESTRUCTURA ECONOMICA'!J15/'ESTRUCTURA FINANCIERA'!H30</f>
        <v>#DIV/0!</v>
      </c>
      <c r="I32" s="67"/>
      <c r="J32" s="36" t="e">
        <f>'ESTRUCTURA ECONOMICA'!M15/'ESTRUCTURA FINANCIERA'!J30</f>
        <v>#DIV/0!</v>
      </c>
      <c r="K32" s="45" t="e">
        <v>#DIV/0!</v>
      </c>
    </row>
    <row r="33" spans="1:11" x14ac:dyDescent="0.15">
      <c r="A33" s="35" t="s">
        <v>153</v>
      </c>
      <c r="B33" s="178">
        <f>'ESTRUCTURA ECONOMICA'!B10/'ESTRUCTURA FINANCIERA'!B30</f>
        <v>0.10528413215052462</v>
      </c>
      <c r="C33" s="179"/>
      <c r="D33" s="194">
        <f>'ESTRUCTURA ECONOMICA'!E10/'ESTRUCTURA FINANCIERA'!D30</f>
        <v>0.1081949826954763</v>
      </c>
      <c r="E33" s="179"/>
      <c r="F33" s="195">
        <f>'ESTRUCTURA ECONOMICA'!G10/'ESTRUCTURA FINANCIERA'!F30</f>
        <v>8.4992879326080545E-2</v>
      </c>
      <c r="G33" s="98"/>
      <c r="H33" s="46" t="e">
        <f>'ESTRUCTURA ECONOMICA'!J15/'ESTRUCTURA FINANCIERA'!H38</f>
        <v>#DIV/0!</v>
      </c>
      <c r="I33" s="46"/>
      <c r="J33" s="46" t="e">
        <f>'ESTRUCTURA ECONOMICA'!M15/'ESTRUCTURA FINANCIERA'!J38</f>
        <v>#DIV/0!</v>
      </c>
      <c r="K33" s="47" t="e">
        <v>#DIV/0!</v>
      </c>
    </row>
    <row r="34" spans="1:11" x14ac:dyDescent="0.15">
      <c r="A34" s="35" t="s">
        <v>154</v>
      </c>
      <c r="B34" s="178">
        <f>'ESTRUCTURA ECONOMICA'!B10/INDICES!B5</f>
        <v>1.0005763604639606</v>
      </c>
      <c r="C34" s="179"/>
      <c r="D34" s="178">
        <f>'ESTRUCTURA ECONOMICA'!E10/INDICES!D5</f>
        <v>1.0350945790676038</v>
      </c>
      <c r="E34" s="179"/>
      <c r="F34" s="183">
        <f>'ESTRUCTURA ECONOMICA'!G10/INDICES!F5</f>
        <v>1.1232090243031601</v>
      </c>
      <c r="G34" s="97"/>
      <c r="H34" s="36" t="e">
        <f>'ESTRUCTURA ECONOMICA'!I15/INDICES!H5</f>
        <v>#DIV/0!</v>
      </c>
      <c r="I34" s="67"/>
      <c r="J34" s="36" t="e">
        <f>'ESTRUCTURA ECONOMICA'!K15/INDICES!J5</f>
        <v>#DIV/0!</v>
      </c>
      <c r="K34" s="45" t="e">
        <v>#DIV/0!</v>
      </c>
    </row>
    <row r="35" spans="1:11" x14ac:dyDescent="0.15">
      <c r="A35" s="74" t="s">
        <v>155</v>
      </c>
      <c r="B35" s="196">
        <f>('ESTRUCTURA FINANCIERA'!B33+'ESTRUCTURA FINANCIERA'!B34)/('ESTRUCTURA ECONOMICA'!B15/IF('CAPITAL DE TRABAJO'!AL7=2,365,30))</f>
        <v>74.926662951146128</v>
      </c>
      <c r="C35" s="197"/>
      <c r="D35" s="196">
        <f>('ESTRUCTURA FINANCIERA'!D33+'ESTRUCTURA FINANCIERA'!D34)/('ESTRUCTURA ECONOMICA'!E15/IF('CAPITAL DE TRABAJO'!AL7=2,365,30))</f>
        <v>55.66225830002319</v>
      </c>
      <c r="E35" s="197"/>
      <c r="F35" s="196">
        <f>('ESTRUCTURA FINANCIERA'!F33+'ESTRUCTURA FINANCIERA'!F34)/('ESTRUCTURA ECONOMICA'!G15/IF('CAPITAL DE TRABAJO'!AL7=2,365,30))</f>
        <v>108.02608632785703</v>
      </c>
      <c r="G35" s="99"/>
      <c r="H35" s="48" t="e">
        <f>360/H30</f>
        <v>#DIV/0!</v>
      </c>
      <c r="I35" s="49"/>
      <c r="J35" s="48" t="e">
        <f>360/J30</f>
        <v>#DIV/0!</v>
      </c>
      <c r="K35" s="49" t="e">
        <v>#DIV/0!</v>
      </c>
    </row>
    <row r="36" spans="1:11" x14ac:dyDescent="0.15">
      <c r="A36" s="74" t="s">
        <v>291</v>
      </c>
      <c r="B36" s="196">
        <f>(('ESTRUCTURA FINANCIERA'!B15/('ESTRUCTURA ECONOMICA'!B10/IF('CAPITAL DE TRABAJO'!AL7=2,365,30)))+((('ESTRUCTURA FINANCIERA'!B12+'ESTRUCTURA FINANCIERA'!B13)/('ESTRUCTURA ECONOMICA'!B10/IF('CAPITAL DE TRABAJO'!AL7=2,365,30))))-(('ESTRUCTURA FINANCIERA'!B33+'ESTRUCTURA FINANCIERA'!B34)/('ESTRUCTURA ECONOMICA'!B10/IF('CAPITAL DE TRABAJO'!AL7=2,365,30))))</f>
        <v>113.93699170437759</v>
      </c>
      <c r="C36" s="197"/>
      <c r="D36" s="198">
        <f>(('ESTRUCTURA FINANCIERA'!D15/('ESTRUCTURA ECONOMICA'!E10/IF('CAPITAL DE TRABAJO'!AL7=2,365,30)))+((('ESTRUCTURA FINANCIERA'!D12+'ESTRUCTURA FINANCIERA'!D13)/('ESTRUCTURA ECONOMICA'!E10/IF('CAPITAL DE TRABAJO'!AL7=2,365,30))))-(('ESTRUCTURA FINANCIERA'!D33+'ESTRUCTURA FINANCIERA'!D34)/('ESTRUCTURA ECONOMICA'!E10/IF('CAPITAL DE TRABAJO'!AL7=2,365,30))))</f>
        <v>119.10749059565171</v>
      </c>
      <c r="E36" s="197"/>
      <c r="F36" s="198">
        <f>(('ESTRUCTURA FINANCIERA'!F15/('ESTRUCTURA ECONOMICA'!G10/IF('CAPITAL DE TRABAJO'!AL7=2,365,30)))+((('ESTRUCTURA FINANCIERA'!F12+'ESTRUCTURA FINANCIERA'!F13)/('ESTRUCTURA ECONOMICA'!G10/IF('CAPITAL DE TRABAJO'!AL7=2,365,30))))-(('ESTRUCTURA FINANCIERA'!F33+'ESTRUCTURA FINANCIERA'!F34)/('ESTRUCTURA ECONOMICA'!G10/IF('CAPITAL DE TRABAJO'!AL7=2,365,30))))</f>
        <v>117.20996618681461</v>
      </c>
      <c r="G36" s="100"/>
      <c r="H36" s="50" t="e">
        <f t="shared" ref="H36:J36" si="4">H29+H31-H35</f>
        <v>#DIV/0!</v>
      </c>
      <c r="I36" s="50"/>
      <c r="J36" s="50" t="e">
        <f t="shared" si="4"/>
        <v>#DIV/0!</v>
      </c>
      <c r="K36" s="50" t="e">
        <f>+K31-K35</f>
        <v>#DIV/0!</v>
      </c>
    </row>
    <row r="37" spans="1:11" x14ac:dyDescent="0.15">
      <c r="A37" s="68"/>
      <c r="B37" s="199"/>
      <c r="C37" s="199"/>
      <c r="D37" s="200"/>
      <c r="E37" s="199"/>
      <c r="F37" s="201"/>
      <c r="G37" s="51"/>
      <c r="H37" s="51"/>
      <c r="I37" s="51"/>
      <c r="J37" s="51"/>
      <c r="K37" s="52"/>
    </row>
    <row r="38" spans="1:11" x14ac:dyDescent="0.15">
      <c r="A38" s="127" t="s">
        <v>156</v>
      </c>
      <c r="B38" s="173">
        <f>B4</f>
        <v>45657</v>
      </c>
      <c r="C38" s="182"/>
      <c r="D38" s="173">
        <f t="shared" ref="D38:K38" si="5">D4</f>
        <v>45291</v>
      </c>
      <c r="E38" s="182"/>
      <c r="F38" s="174">
        <f t="shared" si="5"/>
        <v>44926</v>
      </c>
      <c r="G38" s="91"/>
      <c r="H38" s="31">
        <f t="shared" si="5"/>
        <v>0</v>
      </c>
      <c r="I38" s="31"/>
      <c r="J38" s="31">
        <f t="shared" si="5"/>
        <v>0</v>
      </c>
      <c r="K38" s="32">
        <f t="shared" si="5"/>
        <v>0</v>
      </c>
    </row>
    <row r="39" spans="1:11" x14ac:dyDescent="0.15">
      <c r="A39" s="35" t="s">
        <v>157</v>
      </c>
      <c r="B39" s="202">
        <f>'ESTRUCTURA ECONOMICA'!B16/'ESTRUCTURA ECONOMICA'!B10</f>
        <v>0.38132576991209982</v>
      </c>
      <c r="C39" s="203"/>
      <c r="D39" s="202">
        <f>'ESTRUCTURA ECONOMICA'!E16/'ESTRUCTURA ECONOMICA'!E10</f>
        <v>0.38922532360451828</v>
      </c>
      <c r="E39" s="203"/>
      <c r="F39" s="204">
        <f>'ESTRUCTURA ECONOMICA'!G16/'ESTRUCTURA ECONOMICA'!G10</f>
        <v>0.37074040025212196</v>
      </c>
      <c r="G39" s="101"/>
      <c r="H39" s="53" t="e">
        <f>'ESTRUCTURA ECONOMICA'!I26/'ESTRUCTURA ECONOMICA'!I15</f>
        <v>#DIV/0!</v>
      </c>
      <c r="I39" s="53"/>
      <c r="J39" s="53" t="e">
        <f>'ESTRUCTURA ECONOMICA'!K26/'ESTRUCTURA ECONOMICA'!K15</f>
        <v>#DIV/0!</v>
      </c>
      <c r="K39" s="54" t="e">
        <v>#DIV/0!</v>
      </c>
    </row>
    <row r="40" spans="1:11" x14ac:dyDescent="0.15">
      <c r="A40" s="35" t="s">
        <v>158</v>
      </c>
      <c r="B40" s="202">
        <f>'ESTRUCTURA ECONOMICA'!B21/'ESTRUCTURA ECONOMICA'!B10</f>
        <v>-0.29022718498744149</v>
      </c>
      <c r="C40" s="203"/>
      <c r="D40" s="202">
        <f>'ESTRUCTURA ECONOMICA'!E21/'ESTRUCTURA ECONOMICA'!E10</f>
        <v>-0.24545097180306763</v>
      </c>
      <c r="E40" s="203"/>
      <c r="F40" s="204">
        <f>'ESTRUCTURA ECONOMICA'!G21/'ESTRUCTURA ECONOMICA'!G10</f>
        <v>-0.2902949145359815</v>
      </c>
      <c r="G40" s="102"/>
      <c r="H40" s="55" t="e">
        <f>'ESTRUCTURA ECONOMICA'!I33/'ESTRUCTURA ECONOMICA'!I15</f>
        <v>#DIV/0!</v>
      </c>
      <c r="I40" s="55"/>
      <c r="J40" s="55" t="e">
        <f>'ESTRUCTURA ECONOMICA'!K33/'ESTRUCTURA ECONOMICA'!K15</f>
        <v>#DIV/0!</v>
      </c>
      <c r="K40" s="56" t="e">
        <v>#DIV/0!</v>
      </c>
    </row>
    <row r="41" spans="1:11" x14ac:dyDescent="0.15">
      <c r="A41" s="35" t="s">
        <v>159</v>
      </c>
      <c r="B41" s="202">
        <f>'ESTRUCTURA ECONOMICA'!B31/'ESTRUCTURA ECONOMICA'!B10</f>
        <v>8.5388174612575238E-2</v>
      </c>
      <c r="C41" s="203"/>
      <c r="D41" s="202">
        <f>'ESTRUCTURA ECONOMICA'!E31/'ESTRUCTURA ECONOMICA'!E10</f>
        <v>0.10540670016221036</v>
      </c>
      <c r="E41" s="203"/>
      <c r="F41" s="204">
        <f>'ESTRUCTURA ECONOMICA'!G31/'ESTRUCTURA ECONOMICA'!G10</f>
        <v>0.12035599630530064</v>
      </c>
      <c r="G41" s="101"/>
      <c r="H41" s="53" t="e">
        <f>'ESTRUCTURA ECONOMICA'!I50/'ESTRUCTURA ECONOMICA'!I15</f>
        <v>#DIV/0!</v>
      </c>
      <c r="I41" s="53"/>
      <c r="J41" s="53" t="e">
        <f>'ESTRUCTURA ECONOMICA'!K50/'ESTRUCTURA ECONOMICA'!K15</f>
        <v>#DIV/0!</v>
      </c>
      <c r="K41" s="54" t="e">
        <v>#DIV/0!</v>
      </c>
    </row>
    <row r="42" spans="1:11" x14ac:dyDescent="0.15">
      <c r="A42" s="35" t="s">
        <v>160</v>
      </c>
      <c r="B42" s="205">
        <f>'ESTRUCTURA ECONOMICA'!B31/'ESTRUCTURA FINANCIERA'!B23</f>
        <v>1.5666712207036386</v>
      </c>
      <c r="C42" s="206"/>
      <c r="D42" s="205">
        <f>'ESTRUCTURA ECONOMICA'!E31/'ESTRUCTURA FINANCIERA'!D23</f>
        <v>1.8642330591650405</v>
      </c>
      <c r="E42" s="206"/>
      <c r="F42" s="207">
        <f>'ESTRUCTURA ECONOMICA'!G31/'ESTRUCTURA FINANCIERA'!F23</f>
        <v>1.9224255302824298</v>
      </c>
      <c r="G42" s="102"/>
      <c r="H42" s="55" t="e">
        <f>'ESTRUCTURA ECONOMICA'!I50/'ESTRUCTURA FINANCIERA'!H30</f>
        <v>#DIV/0!</v>
      </c>
      <c r="I42" s="55"/>
      <c r="J42" s="55" t="e">
        <f>'ESTRUCTURA ECONOMICA'!K50/'ESTRUCTURA FINANCIERA'!J30</f>
        <v>#DIV/0!</v>
      </c>
      <c r="K42" s="56" t="e">
        <v>#DIV/0!</v>
      </c>
    </row>
    <row r="43" spans="1:11" x14ac:dyDescent="0.15">
      <c r="A43" s="127" t="s">
        <v>161</v>
      </c>
      <c r="B43" s="208">
        <f>'ESTRUCTURA ECONOMICA'!B31/'ESTRUCTURA FINANCIERA'!B30</f>
        <v>8.9900198600024427E-3</v>
      </c>
      <c r="C43" s="209"/>
      <c r="D43" s="208">
        <f>'ESTRUCTURA ECONOMICA'!E31/'ESTRUCTURA FINANCIERA'!D30</f>
        <v>1.1404476100037609E-2</v>
      </c>
      <c r="E43" s="209"/>
      <c r="F43" s="210">
        <f>'ESTRUCTURA ECONOMICA'!G31/'ESTRUCTURA FINANCIERA'!F30</f>
        <v>1.0229402670146612E-2</v>
      </c>
      <c r="G43" s="103"/>
      <c r="H43" s="57" t="e">
        <f>'ESTRUCTURA ECONOMICA'!I50/'ESTRUCTURA FINANCIERA'!H38</f>
        <v>#DIV/0!</v>
      </c>
      <c r="I43" s="57"/>
      <c r="J43" s="57" t="e">
        <f>'ESTRUCTURA ECONOMICA'!K50/'ESTRUCTURA FINANCIERA'!J38</f>
        <v>#DIV/0!</v>
      </c>
      <c r="K43" s="58" t="e">
        <v>#DIV/0!</v>
      </c>
    </row>
    <row r="44" spans="1:11" x14ac:dyDescent="0.15">
      <c r="A44" s="127" t="s">
        <v>162</v>
      </c>
      <c r="B44" s="208">
        <f>'ESTRUCTURA ECONOMICA'!B31/'ESTRUCTURA FINANCIERA'!B56</f>
        <v>0.13259995636461067</v>
      </c>
      <c r="C44" s="209"/>
      <c r="D44" s="208">
        <f>'ESTRUCTURA ECONOMICA'!E31/'ESTRUCTURA FINANCIERA'!D56</f>
        <v>0.15619769887651799</v>
      </c>
      <c r="E44" s="209"/>
      <c r="F44" s="210">
        <f>'ESTRUCTURA ECONOMICA'!G31/'ESTRUCTURA FINANCIERA'!F56</f>
        <v>0.18095277127051024</v>
      </c>
      <c r="G44" s="104"/>
      <c r="H44" s="59" t="e">
        <f>'ESTRUCTURA ECONOMICA'!I50/'ESTRUCTURA FINANCIERA'!H64</f>
        <v>#DIV/0!</v>
      </c>
      <c r="I44" s="59"/>
      <c r="J44" s="59" t="e">
        <f>'ESTRUCTURA ECONOMICA'!K50/'ESTRUCTURA FINANCIERA'!J64</f>
        <v>#DIV/0!</v>
      </c>
      <c r="K44" s="60" t="e">
        <v>#DIV/0!</v>
      </c>
    </row>
    <row r="45" spans="1:11" x14ac:dyDescent="0.15">
      <c r="A45" s="35" t="s">
        <v>163</v>
      </c>
      <c r="B45" s="205">
        <f>'ESTRUCTURA ECONOMICA'!B31/('ESTRUCTURA FINANCIERA'!B56+'ESTRUCTURA FINANCIERA'!B49)</f>
        <v>8.9900198600024427E-3</v>
      </c>
      <c r="C45" s="206"/>
      <c r="D45" s="205">
        <f>'ESTRUCTURA ECONOMICA'!E31/('ESTRUCTURA FINANCIERA'!D56+'ESTRUCTURA FINANCIERA'!D49)</f>
        <v>1.1404476100037609E-2</v>
      </c>
      <c r="E45" s="206"/>
      <c r="F45" s="207">
        <f>'ESTRUCTURA ECONOMICA'!G31/('ESTRUCTURA FINANCIERA'!F56+'ESTRUCTURA FINANCIERA'!F49)</f>
        <v>1.0229402670146612E-2</v>
      </c>
      <c r="G45" s="101"/>
      <c r="H45" s="53" t="e">
        <f>'ESTRUCTURA ECONOMICA'!I50/('ESTRUCTURA FINANCIERA'!H64+'ESTRUCTURA FINANCIERA'!H57)</f>
        <v>#DIV/0!</v>
      </c>
      <c r="I45" s="53"/>
      <c r="J45" s="53" t="e">
        <f>'ESTRUCTURA ECONOMICA'!K50/('ESTRUCTURA FINANCIERA'!J64+'ESTRUCTURA FINANCIERA'!J57)</f>
        <v>#DIV/0!</v>
      </c>
      <c r="K45" s="54" t="e">
        <v>#DIV/0!</v>
      </c>
    </row>
    <row r="46" spans="1:11" x14ac:dyDescent="0.15">
      <c r="A46" s="130" t="s">
        <v>164</v>
      </c>
      <c r="B46" s="211">
        <f>'ESTRUCTURA ECONOMICA'!B31/INDICES!B5</f>
        <v>8.5437388980511689E-2</v>
      </c>
      <c r="C46" s="212"/>
      <c r="D46" s="211">
        <f>'ESTRUCTURA ECONOMICA'!E31/INDICES!D5</f>
        <v>0.10910590393530825</v>
      </c>
      <c r="E46" s="212"/>
      <c r="F46" s="213">
        <f>'ESTRUCTURA ECONOMICA'!G31/INDICES!F5</f>
        <v>0.13518494117911148</v>
      </c>
      <c r="G46" s="105"/>
      <c r="H46" s="61" t="e">
        <f>'ESTRUCTURA ECONOMICA'!I50/INDICES!H5</f>
        <v>#DIV/0!</v>
      </c>
      <c r="I46" s="61"/>
      <c r="J46" s="61" t="e">
        <f>'ESTRUCTURA ECONOMICA'!K50/INDICES!J5</f>
        <v>#DIV/0!</v>
      </c>
      <c r="K46" s="62" t="e">
        <v>#DIV/0!</v>
      </c>
    </row>
    <row r="47" spans="1:11" x14ac:dyDescent="0.15">
      <c r="A47" s="63"/>
      <c r="B47" s="214"/>
      <c r="C47" s="214"/>
      <c r="D47" s="214"/>
      <c r="E47" s="214"/>
      <c r="F47" s="214"/>
      <c r="G47" s="63"/>
      <c r="H47" s="63"/>
      <c r="I47" s="63"/>
      <c r="J47" s="63"/>
    </row>
    <row r="48" spans="1:11" x14ac:dyDescent="0.15">
      <c r="A48" s="5" t="s">
        <v>105</v>
      </c>
      <c r="G48" s="64"/>
      <c r="H48" s="64" t="e">
        <f>H14+H15</f>
        <v>#DIV/0!</v>
      </c>
      <c r="I48" s="64"/>
      <c r="J48" s="64" t="e">
        <f>J14+J15</f>
        <v>#DIV/0!</v>
      </c>
      <c r="K48" s="64" t="e">
        <f>K14+K15</f>
        <v>#DIV/0!</v>
      </c>
    </row>
    <row r="49" spans="2:11" x14ac:dyDescent="0.15">
      <c r="G49" s="64"/>
      <c r="H49" s="64" t="e">
        <f t="shared" ref="H49:K49" si="6">H16*H17</f>
        <v>#DIV/0!</v>
      </c>
      <c r="I49" s="64"/>
      <c r="J49" s="64" t="e">
        <f t="shared" si="6"/>
        <v>#DIV/0!</v>
      </c>
      <c r="K49" s="64" t="e">
        <f t="shared" si="6"/>
        <v>#DIV/0!</v>
      </c>
    </row>
    <row r="50" spans="2:11" x14ac:dyDescent="0.15">
      <c r="G50" s="64"/>
      <c r="H50" s="64" t="e">
        <f>H18+H19</f>
        <v>#DIV/0!</v>
      </c>
      <c r="I50" s="64"/>
      <c r="J50" s="64" t="e">
        <f>J18+J19</f>
        <v>#DIV/0!</v>
      </c>
      <c r="K50" s="64" t="e">
        <f>K18+K19</f>
        <v>#DIV/0!</v>
      </c>
    </row>
    <row r="60" spans="2:11" x14ac:dyDescent="0.15">
      <c r="B60" s="171">
        <f>B14+B15</f>
        <v>1</v>
      </c>
      <c r="D60" s="171">
        <f>D14+D15</f>
        <v>1</v>
      </c>
      <c r="E60" s="171"/>
      <c r="F60" s="171">
        <f>F14+F15</f>
        <v>1</v>
      </c>
    </row>
    <row r="61" spans="2:11" x14ac:dyDescent="0.15">
      <c r="B61" s="171">
        <f>B16*B17</f>
        <v>1</v>
      </c>
      <c r="D61" s="171">
        <f>D16*D17</f>
        <v>1</v>
      </c>
      <c r="E61" s="171"/>
      <c r="F61" s="171">
        <f>F16*F17</f>
        <v>1</v>
      </c>
    </row>
    <row r="62" spans="2:11" x14ac:dyDescent="0.15">
      <c r="B62" s="171">
        <f>B18+B19</f>
        <v>1</v>
      </c>
      <c r="D62" s="171">
        <f>D18+D19</f>
        <v>1</v>
      </c>
      <c r="E62" s="171"/>
      <c r="F62" s="171">
        <f>F18+F19</f>
        <v>1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AJ35"/>
  <sheetViews>
    <sheetView showGridLines="0" topLeftCell="A8" zoomScaleNormal="100" zoomScalePageLayoutView="118" workbookViewId="0">
      <selection sqref="A1:AG36"/>
    </sheetView>
  </sheetViews>
  <sheetFormatPr baseColWidth="10" defaultColWidth="10.83203125" defaultRowHeight="13" x14ac:dyDescent="0.15"/>
  <cols>
    <col min="1" max="1" width="47.33203125" style="68" customWidth="1"/>
    <col min="2" max="2" width="0" style="68" hidden="1" customWidth="1"/>
    <col min="3" max="3" width="7.5" style="68" hidden="1" customWidth="1"/>
    <col min="4" max="4" width="10.1640625" style="68" hidden="1" customWidth="1"/>
    <col min="5" max="5" width="7.1640625" style="68" hidden="1" customWidth="1"/>
    <col min="6" max="6" width="9.5" style="68" hidden="1" customWidth="1"/>
    <col min="7" max="7" width="7.5" style="68" hidden="1" customWidth="1"/>
    <col min="8" max="8" width="10.5" style="68" hidden="1" customWidth="1"/>
    <col min="9" max="9" width="7.5" style="68" hidden="1" customWidth="1"/>
    <col min="10" max="10" width="1.83203125" style="68" hidden="1" customWidth="1"/>
    <col min="11" max="11" width="1.1640625" style="68" customWidth="1"/>
    <col min="12" max="12" width="13.83203125" style="68" bestFit="1" customWidth="1"/>
    <col min="13" max="13" width="5.6640625" style="68" bestFit="1" customWidth="1"/>
    <col min="14" max="14" width="13.83203125" style="68" bestFit="1" customWidth="1"/>
    <col min="15" max="15" width="5.6640625" style="68" bestFit="1" customWidth="1"/>
    <col min="16" max="16" width="13.83203125" style="68" bestFit="1" customWidth="1"/>
    <col min="17" max="17" width="5.6640625" style="68" bestFit="1" customWidth="1"/>
    <col min="18" max="18" width="34.5" style="68" bestFit="1" customWidth="1"/>
    <col min="19" max="19" width="7.33203125" style="68" bestFit="1" customWidth="1"/>
    <col min="20" max="20" width="0.5" style="68" hidden="1" customWidth="1"/>
    <col min="21" max="21" width="7.33203125" style="68" bestFit="1" customWidth="1"/>
    <col min="22" max="22" width="0.5" style="68" hidden="1" customWidth="1"/>
    <col min="23" max="23" width="7.33203125" style="68" bestFit="1" customWidth="1"/>
    <col min="24" max="24" width="0.5" style="68" hidden="1" customWidth="1"/>
    <col min="25" max="25" width="7.33203125" style="68" bestFit="1" customWidth="1"/>
    <col min="26" max="26" width="0.5" style="68" hidden="1" customWidth="1"/>
    <col min="27" max="27" width="3.6640625" style="68" bestFit="1" customWidth="1"/>
    <col min="28" max="28" width="0.5" style="68" customWidth="1"/>
    <col min="29" max="29" width="13.83203125" style="68" bestFit="1" customWidth="1"/>
    <col min="30" max="30" width="0.5" style="68" customWidth="1"/>
    <col min="31" max="31" width="13.83203125" style="68" bestFit="1" customWidth="1"/>
    <col min="32" max="32" width="1" style="68" customWidth="1"/>
    <col min="33" max="33" width="13.83203125" style="68" bestFit="1" customWidth="1"/>
    <col min="34" max="34" width="10.83203125" style="68"/>
    <col min="35" max="36" width="0" style="68" hidden="1" customWidth="1"/>
    <col min="37" max="16384" width="10.83203125" style="68"/>
  </cols>
  <sheetData>
    <row r="1" spans="1:33" ht="30" customHeight="1" x14ac:dyDescent="0.15">
      <c r="A1" s="348" t="s">
        <v>254</v>
      </c>
      <c r="B1" s="348"/>
      <c r="C1" s="348"/>
      <c r="F1" s="69"/>
    </row>
    <row r="2" spans="1:33" ht="15" x14ac:dyDescent="0.2">
      <c r="A2" s="70" t="s">
        <v>165</v>
      </c>
      <c r="B2" s="71">
        <v>0</v>
      </c>
      <c r="C2" s="70" t="s">
        <v>0</v>
      </c>
      <c r="D2" s="71">
        <v>0</v>
      </c>
      <c r="E2" s="72" t="s">
        <v>0</v>
      </c>
      <c r="F2" s="71">
        <v>0</v>
      </c>
      <c r="G2" s="72" t="s">
        <v>0</v>
      </c>
      <c r="H2" s="71">
        <v>0</v>
      </c>
      <c r="I2" s="72"/>
      <c r="J2" s="71">
        <v>0</v>
      </c>
      <c r="K2" s="72"/>
      <c r="L2" s="166">
        <f>'RENTABILIDAD-BENEFICIOS'!B7</f>
        <v>45657</v>
      </c>
      <c r="M2" s="73"/>
      <c r="N2" s="166">
        <f>'GENERACION DE RECURSOS'!$D$6</f>
        <v>45291</v>
      </c>
      <c r="O2" s="167"/>
      <c r="P2" s="166">
        <f>'GENERACION DE RECURSOS'!$F$6</f>
        <v>44926</v>
      </c>
      <c r="R2" s="222" t="s">
        <v>165</v>
      </c>
      <c r="S2" s="166">
        <v>0</v>
      </c>
      <c r="T2" s="73"/>
      <c r="U2" s="166">
        <v>0</v>
      </c>
      <c r="V2" s="167"/>
      <c r="W2" s="166">
        <v>0</v>
      </c>
      <c r="X2" s="167"/>
      <c r="Y2" s="166">
        <v>0</v>
      </c>
      <c r="Z2" s="167"/>
      <c r="AA2" s="166">
        <v>0</v>
      </c>
      <c r="AB2" s="167"/>
      <c r="AC2" s="166">
        <f>L2</f>
        <v>45657</v>
      </c>
      <c r="AD2" s="167"/>
      <c r="AE2" s="166">
        <f>N2</f>
        <v>45291</v>
      </c>
      <c r="AF2" s="167"/>
      <c r="AG2" s="166">
        <f>P2</f>
        <v>44926</v>
      </c>
    </row>
    <row r="3" spans="1:33" x14ac:dyDescent="0.15">
      <c r="A3" s="74" t="s">
        <v>18</v>
      </c>
      <c r="B3" s="75">
        <v>0</v>
      </c>
      <c r="C3" s="76" t="e">
        <f>B3/B5</f>
        <v>#DIV/0!</v>
      </c>
      <c r="D3" s="75">
        <v>0</v>
      </c>
      <c r="E3" s="76" t="e">
        <f>D3/D5</f>
        <v>#DIV/0!</v>
      </c>
      <c r="F3" s="75">
        <v>0</v>
      </c>
      <c r="G3" s="76" t="e">
        <f>F3/F5</f>
        <v>#DIV/0!</v>
      </c>
      <c r="H3" s="75">
        <v>0</v>
      </c>
      <c r="I3" s="76"/>
      <c r="J3" s="75">
        <v>0</v>
      </c>
      <c r="K3" s="217"/>
      <c r="L3" s="75">
        <f>'ESTRUCTURA FINANCIERA'!B17</f>
        <v>68276001781</v>
      </c>
      <c r="M3" s="77"/>
      <c r="N3" s="75">
        <f>'ESTRUCTURA FINANCIERA'!D17</f>
        <v>54982369783</v>
      </c>
      <c r="P3" s="75">
        <f>'ESTRUCTURA FINANCIERA'!F17</f>
        <v>50414009559</v>
      </c>
      <c r="R3" s="78" t="s">
        <v>166</v>
      </c>
      <c r="S3" s="74"/>
      <c r="T3" s="74"/>
      <c r="U3" s="74"/>
      <c r="W3" s="74"/>
      <c r="Y3" s="74"/>
      <c r="AA3" s="74"/>
      <c r="AC3" s="74"/>
      <c r="AE3" s="74"/>
      <c r="AG3" s="74"/>
    </row>
    <row r="4" spans="1:33" x14ac:dyDescent="0.15">
      <c r="A4" s="74" t="s">
        <v>167</v>
      </c>
      <c r="B4" s="75">
        <v>0</v>
      </c>
      <c r="C4" s="76" t="e">
        <f>B4/B5</f>
        <v>#DIV/0!</v>
      </c>
      <c r="D4" s="75">
        <v>0</v>
      </c>
      <c r="E4" s="76" t="e">
        <f>D4/D5</f>
        <v>#DIV/0!</v>
      </c>
      <c r="F4" s="75">
        <v>0</v>
      </c>
      <c r="G4" s="76" t="e">
        <f>F4/F5</f>
        <v>#DIV/0!</v>
      </c>
      <c r="H4" s="75">
        <v>0</v>
      </c>
      <c r="I4" s="76"/>
      <c r="J4" s="75">
        <v>0</v>
      </c>
      <c r="K4" s="217"/>
      <c r="L4" s="75">
        <f>'ESTRUCTURA FINANCIERA'!B29</f>
        <v>1031313965</v>
      </c>
      <c r="M4" s="77"/>
      <c r="N4" s="75">
        <f>'ESTRUCTURA FINANCIERA'!D29</f>
        <v>989812227</v>
      </c>
      <c r="P4" s="75">
        <f>'ESTRUCTURA FINANCIERA'!F29</f>
        <v>856607398</v>
      </c>
      <c r="R4" s="74" t="s">
        <v>168</v>
      </c>
      <c r="S4" s="75">
        <f>B17</f>
        <v>0</v>
      </c>
      <c r="T4" s="75"/>
      <c r="U4" s="75">
        <f>D17</f>
        <v>0</v>
      </c>
      <c r="W4" s="75">
        <f>F17</f>
        <v>0</v>
      </c>
      <c r="Y4" s="75">
        <f>H17</f>
        <v>0</v>
      </c>
      <c r="AA4" s="75">
        <f>J17</f>
        <v>0</v>
      </c>
      <c r="AC4" s="75">
        <f>L17</f>
        <v>682548271</v>
      </c>
      <c r="AE4" s="75">
        <f>N17</f>
        <v>676981945</v>
      </c>
      <c r="AG4" s="75">
        <f>P17</f>
        <v>533435923</v>
      </c>
    </row>
    <row r="5" spans="1:33" x14ac:dyDescent="0.15">
      <c r="A5" s="74" t="s">
        <v>106</v>
      </c>
      <c r="B5" s="75">
        <f t="shared" ref="B5:L5" si="0">SUM(B3:B4)</f>
        <v>0</v>
      </c>
      <c r="C5" s="79" t="e">
        <f t="shared" si="0"/>
        <v>#DIV/0!</v>
      </c>
      <c r="D5" s="75">
        <f t="shared" si="0"/>
        <v>0</v>
      </c>
      <c r="E5" s="79" t="e">
        <f t="shared" si="0"/>
        <v>#DIV/0!</v>
      </c>
      <c r="F5" s="75">
        <f t="shared" si="0"/>
        <v>0</v>
      </c>
      <c r="G5" s="79" t="e">
        <f t="shared" si="0"/>
        <v>#DIV/0!</v>
      </c>
      <c r="H5" s="75">
        <f t="shared" si="0"/>
        <v>0</v>
      </c>
      <c r="I5" s="79"/>
      <c r="J5" s="75">
        <f t="shared" si="0"/>
        <v>0</v>
      </c>
      <c r="K5" s="218"/>
      <c r="L5" s="75">
        <f t="shared" si="0"/>
        <v>69307315746</v>
      </c>
      <c r="M5" s="80"/>
      <c r="N5" s="75">
        <f>SUM(N3:N4)</f>
        <v>55972182010</v>
      </c>
      <c r="P5" s="75">
        <f>SUM(P3:P4)</f>
        <v>51270616957</v>
      </c>
      <c r="R5" s="74" t="s">
        <v>169</v>
      </c>
      <c r="S5" s="75">
        <f>-S4*B10</f>
        <v>0</v>
      </c>
      <c r="T5" s="75"/>
      <c r="U5" s="75">
        <f>-U4*D10</f>
        <v>0</v>
      </c>
      <c r="W5" s="75">
        <f>-W4*F10</f>
        <v>0</v>
      </c>
      <c r="Y5" s="75">
        <f>-Y4*H10</f>
        <v>0</v>
      </c>
      <c r="AA5" s="75">
        <f>-AA4*J10</f>
        <v>0</v>
      </c>
      <c r="AC5" s="75">
        <f>-AC4*L10</f>
        <v>-59474126</v>
      </c>
      <c r="AE5" s="75">
        <f>-AE4*N10</f>
        <v>-38648533</v>
      </c>
      <c r="AG5" s="75">
        <f>-AG4*P10</f>
        <v>-8968137</v>
      </c>
    </row>
    <row r="6" spans="1:33" x14ac:dyDescent="0.15">
      <c r="A6" s="74"/>
      <c r="B6" s="75"/>
      <c r="C6" s="74"/>
      <c r="D6" s="75"/>
      <c r="E6" s="74"/>
      <c r="F6" s="75"/>
      <c r="G6" s="74"/>
      <c r="H6" s="75"/>
      <c r="I6" s="74"/>
      <c r="J6" s="75"/>
      <c r="K6" s="219"/>
      <c r="L6" s="75"/>
      <c r="N6" s="75"/>
      <c r="P6" s="75"/>
      <c r="R6" s="74" t="s">
        <v>170</v>
      </c>
      <c r="S6" s="75">
        <f>SUM(S4:S5)</f>
        <v>0</v>
      </c>
      <c r="T6" s="75"/>
      <c r="U6" s="75">
        <f>SUM(U4:U5)</f>
        <v>0</v>
      </c>
      <c r="W6" s="75">
        <f>SUM(W4:W5)</f>
        <v>0</v>
      </c>
      <c r="Y6" s="75">
        <f>SUM(Y4:Y5)</f>
        <v>0</v>
      </c>
      <c r="AA6" s="75">
        <f>SUM(AA4:AA5)</f>
        <v>0</v>
      </c>
      <c r="AC6" s="75">
        <f>SUM(AC4:AC5)</f>
        <v>623074145</v>
      </c>
      <c r="AE6" s="75">
        <f>SUM(AE4:AE5)</f>
        <v>638333412</v>
      </c>
      <c r="AG6" s="75">
        <f>SUM(AG4:AG5)</f>
        <v>524467786</v>
      </c>
    </row>
    <row r="7" spans="1:33" x14ac:dyDescent="0.15">
      <c r="A7" s="74" t="s">
        <v>171</v>
      </c>
      <c r="B7" s="75">
        <v>0</v>
      </c>
      <c r="C7" s="81" t="e">
        <f>B7/B9</f>
        <v>#DIV/0!</v>
      </c>
      <c r="D7" s="75">
        <v>0</v>
      </c>
      <c r="E7" s="81" t="e">
        <f>D7/D9</f>
        <v>#DIV/0!</v>
      </c>
      <c r="F7" s="75">
        <v>0</v>
      </c>
      <c r="G7" s="81" t="e">
        <f>F7/F9</f>
        <v>#DIV/0!</v>
      </c>
      <c r="H7" s="75">
        <v>0</v>
      </c>
      <c r="I7" s="81" t="e">
        <f>H7/H9</f>
        <v>#DIV/0!</v>
      </c>
      <c r="J7" s="75">
        <v>0</v>
      </c>
      <c r="K7" s="220"/>
      <c r="L7" s="75">
        <f>'ESTRUCTURA FINANCIERA'!B49</f>
        <v>64608414162</v>
      </c>
      <c r="M7" s="81">
        <f>L7/L9</f>
        <v>0.93220193952943287</v>
      </c>
      <c r="N7" s="75">
        <f>'ESTRUCTURA FINANCIERA'!D49</f>
        <v>51885480243</v>
      </c>
      <c r="O7" s="81">
        <f>N7/N9</f>
        <v>0.92698691349445927</v>
      </c>
      <c r="P7" s="75">
        <f>'ESTRUCTURA FINANCIERA'!F49</f>
        <v>48372248602</v>
      </c>
      <c r="Q7" s="81">
        <f>P7/P9</f>
        <v>0.94346921244519399</v>
      </c>
      <c r="R7" s="74"/>
      <c r="S7" s="74"/>
      <c r="T7" s="74"/>
      <c r="U7" s="74"/>
      <c r="W7" s="74"/>
      <c r="Y7" s="74"/>
      <c r="AA7" s="74"/>
      <c r="AC7" s="74"/>
      <c r="AE7" s="74"/>
      <c r="AG7" s="74"/>
    </row>
    <row r="8" spans="1:33" x14ac:dyDescent="0.15">
      <c r="A8" s="74" t="s">
        <v>172</v>
      </c>
      <c r="B8" s="75">
        <v>0</v>
      </c>
      <c r="C8" s="81" t="e">
        <f>B8/B9</f>
        <v>#DIV/0!</v>
      </c>
      <c r="D8" s="75">
        <v>0</v>
      </c>
      <c r="E8" s="81" t="e">
        <f>D8/D9</f>
        <v>#DIV/0!</v>
      </c>
      <c r="F8" s="75">
        <v>0</v>
      </c>
      <c r="G8" s="81" t="e">
        <f>F8/F9</f>
        <v>#DIV/0!</v>
      </c>
      <c r="H8" s="75">
        <v>0</v>
      </c>
      <c r="I8" s="81" t="e">
        <f>H8/H9</f>
        <v>#DIV/0!</v>
      </c>
      <c r="J8" s="75">
        <v>0</v>
      </c>
      <c r="K8" s="220"/>
      <c r="L8" s="75">
        <f>'ESTRUCTURA FINANCIERA'!B56</f>
        <v>4698901584</v>
      </c>
      <c r="M8" s="81">
        <f>L8/L9</f>
        <v>6.7798060470567162E-2</v>
      </c>
      <c r="N8" s="75">
        <f>'ESTRUCTURA FINANCIERA'!D56</f>
        <v>4086701767</v>
      </c>
      <c r="O8" s="81">
        <f>N8/N9</f>
        <v>7.3013086505540725E-2</v>
      </c>
      <c r="P8" s="75">
        <f>'ESTRUCTURA FINANCIERA'!F56</f>
        <v>2898368355</v>
      </c>
      <c r="Q8" s="81">
        <f>P8/P9</f>
        <v>5.6530787554805978E-2</v>
      </c>
      <c r="R8" s="74" t="s">
        <v>173</v>
      </c>
      <c r="S8" s="75">
        <f>B5</f>
        <v>0</v>
      </c>
      <c r="T8" s="75"/>
      <c r="U8" s="75">
        <f>D5</f>
        <v>0</v>
      </c>
      <c r="W8" s="75">
        <f>F5</f>
        <v>0</v>
      </c>
      <c r="Y8" s="75">
        <f>H5</f>
        <v>0</v>
      </c>
      <c r="AA8" s="75">
        <f>J5</f>
        <v>0</v>
      </c>
      <c r="AC8" s="75">
        <f>L5</f>
        <v>69307315746</v>
      </c>
      <c r="AE8" s="75">
        <f>N5</f>
        <v>55972182010</v>
      </c>
      <c r="AG8" s="75">
        <f>P5</f>
        <v>51270616957</v>
      </c>
    </row>
    <row r="9" spans="1:33" x14ac:dyDescent="0.15">
      <c r="A9" s="74"/>
      <c r="B9" s="75">
        <f t="shared" ref="B9:M9" si="1">SUM(B7:B8)</f>
        <v>0</v>
      </c>
      <c r="C9" s="79" t="e">
        <f t="shared" si="1"/>
        <v>#DIV/0!</v>
      </c>
      <c r="D9" s="75">
        <f t="shared" si="1"/>
        <v>0</v>
      </c>
      <c r="E9" s="79" t="e">
        <f t="shared" si="1"/>
        <v>#DIV/0!</v>
      </c>
      <c r="F9" s="75">
        <f t="shared" si="1"/>
        <v>0</v>
      </c>
      <c r="G9" s="79" t="e">
        <f t="shared" si="1"/>
        <v>#DIV/0!</v>
      </c>
      <c r="H9" s="75">
        <f t="shared" si="1"/>
        <v>0</v>
      </c>
      <c r="I9" s="79" t="e">
        <f t="shared" si="1"/>
        <v>#DIV/0!</v>
      </c>
      <c r="J9" s="75">
        <f t="shared" si="1"/>
        <v>0</v>
      </c>
      <c r="K9" s="218"/>
      <c r="L9" s="75">
        <f t="shared" si="1"/>
        <v>69307315746</v>
      </c>
      <c r="M9" s="79">
        <f t="shared" si="1"/>
        <v>1</v>
      </c>
      <c r="N9" s="75">
        <f>SUM(N7:N8)</f>
        <v>55972182010</v>
      </c>
      <c r="O9" s="79">
        <f>SUM(O7:O8)</f>
        <v>1</v>
      </c>
      <c r="P9" s="75">
        <f>SUM(P7:P8)</f>
        <v>51270616957</v>
      </c>
      <c r="Q9" s="79">
        <f>SUM(Q7:Q8)</f>
        <v>1</v>
      </c>
      <c r="R9" s="74" t="s">
        <v>174</v>
      </c>
      <c r="S9" s="79" t="e">
        <f>B13</f>
        <v>#DIV/0!</v>
      </c>
      <c r="T9" s="79"/>
      <c r="U9" s="79" t="e">
        <f>D13</f>
        <v>#DIV/0!</v>
      </c>
      <c r="W9" s="79" t="e">
        <f>F13</f>
        <v>#DIV/0!</v>
      </c>
      <c r="Y9" s="79" t="e">
        <f>H13</f>
        <v>#DIV/0!</v>
      </c>
      <c r="AA9" s="79">
        <f>J13</f>
        <v>0</v>
      </c>
      <c r="AC9" s="79">
        <f>L13</f>
        <v>5.7879204223723182E-2</v>
      </c>
      <c r="AE9" s="79">
        <f>N13</f>
        <v>5.5029963299226048E-2</v>
      </c>
      <c r="AG9" s="79">
        <f>P13</f>
        <v>3.1301097069096076E-2</v>
      </c>
    </row>
    <row r="10" spans="1:33" x14ac:dyDescent="0.15">
      <c r="A10" s="74" t="s">
        <v>175</v>
      </c>
      <c r="B10" s="81">
        <f>IF(B21=0,0,B23/B21)</f>
        <v>0</v>
      </c>
      <c r="C10" s="74"/>
      <c r="D10" s="81">
        <f>IF(D21=0,0,D23/D21)</f>
        <v>0</v>
      </c>
      <c r="E10" s="74"/>
      <c r="F10" s="81">
        <f>IF(F21=0,0,F23/F21)</f>
        <v>0</v>
      </c>
      <c r="G10" s="74"/>
      <c r="H10" s="81">
        <f>IF(H21=0,0,H23/H21)</f>
        <v>0</v>
      </c>
      <c r="I10" s="74"/>
      <c r="J10" s="81">
        <f>IF(J21=0,0,J23/J21)</f>
        <v>0</v>
      </c>
      <c r="K10" s="219"/>
      <c r="L10" s="81">
        <f>IF(L21=0,0,L23/L21)</f>
        <v>8.7135413753029634E-2</v>
      </c>
      <c r="N10" s="81">
        <f>IF(N21=0,0,N23/N21)</f>
        <v>5.708945901060921E-2</v>
      </c>
      <c r="P10" s="81">
        <f>IF(P21=0,0,P23/P21)</f>
        <v>1.6812022987810666E-2</v>
      </c>
      <c r="R10" s="74" t="s">
        <v>176</v>
      </c>
      <c r="S10" s="75" t="e">
        <f>S8*S9</f>
        <v>#DIV/0!</v>
      </c>
      <c r="T10" s="75"/>
      <c r="U10" s="75" t="e">
        <f>U8*U9</f>
        <v>#DIV/0!</v>
      </c>
      <c r="W10" s="75" t="e">
        <f>W8*W9</f>
        <v>#DIV/0!</v>
      </c>
      <c r="Y10" s="75" t="e">
        <f>Y8*Y9</f>
        <v>#DIV/0!</v>
      </c>
      <c r="AA10" s="75">
        <f>AA8*AA9</f>
        <v>0</v>
      </c>
      <c r="AC10" s="75">
        <f>AC8*AC9</f>
        <v>4011452282.2607994</v>
      </c>
      <c r="AE10" s="75">
        <f>AE8*AE9</f>
        <v>3080147121.7879004</v>
      </c>
      <c r="AG10" s="75">
        <f>AG8*AG9</f>
        <v>1604826558.1635003</v>
      </c>
    </row>
    <row r="11" spans="1:33" x14ac:dyDescent="0.15">
      <c r="A11" s="74" t="s">
        <v>177</v>
      </c>
      <c r="B11" s="81">
        <f>IF(B7=0,0,B19/B7)</f>
        <v>0</v>
      </c>
      <c r="C11" s="74"/>
      <c r="D11" s="81">
        <f>IF(D7=0,0,D19/D7)</f>
        <v>0</v>
      </c>
      <c r="E11" s="74"/>
      <c r="F11" s="81">
        <f>IF(F7=0,0,F19/F7)</f>
        <v>0</v>
      </c>
      <c r="G11" s="74"/>
      <c r="H11" s="81">
        <f>IF(H7=0,0,H19/H7)</f>
        <v>0</v>
      </c>
      <c r="I11" s="74"/>
      <c r="J11" s="81">
        <f>IF(J7=0,0,J19/J7)</f>
        <v>0</v>
      </c>
      <c r="K11" s="219"/>
      <c r="L11" s="81">
        <f>IF(L7=0,0,L19/L7)</f>
        <v>0</v>
      </c>
      <c r="N11" s="81">
        <f>IF(N7=0,0,N19/N7)</f>
        <v>0</v>
      </c>
      <c r="P11" s="81">
        <f>IF(P7=0,0,P19/P7)</f>
        <v>0</v>
      </c>
      <c r="R11" s="74"/>
      <c r="S11" s="74"/>
      <c r="T11" s="74"/>
      <c r="U11" s="74"/>
      <c r="W11" s="74"/>
      <c r="Y11" s="74"/>
      <c r="AA11" s="74"/>
      <c r="AC11" s="74"/>
      <c r="AE11" s="74"/>
      <c r="AG11" s="74"/>
    </row>
    <row r="12" spans="1:33" x14ac:dyDescent="0.15">
      <c r="A12" s="74" t="s">
        <v>178</v>
      </c>
      <c r="B12" s="81">
        <f>B30</f>
        <v>0.43132028492352825</v>
      </c>
      <c r="C12" s="74"/>
      <c r="D12" s="81">
        <f>D30</f>
        <v>0.43132028492352825</v>
      </c>
      <c r="E12" s="74"/>
      <c r="F12" s="81">
        <f>F30</f>
        <v>0.43132028492352797</v>
      </c>
      <c r="G12" s="74"/>
      <c r="H12" s="81">
        <f>H30</f>
        <v>0.43132028492352797</v>
      </c>
      <c r="I12" s="74"/>
      <c r="J12" s="81">
        <f>J30</f>
        <v>0.6</v>
      </c>
      <c r="K12" s="219"/>
      <c r="L12" s="81">
        <f>IF( L33="Si",L31,L30)</f>
        <v>0.8536999999999999</v>
      </c>
      <c r="N12" s="81">
        <f>IF(L33="Si",N31,N30)</f>
        <v>0.75370000000000004</v>
      </c>
      <c r="P12" s="81">
        <f>IF(L33="Si",P31,P30)</f>
        <v>0.55370000000000008</v>
      </c>
      <c r="R12" s="78" t="s">
        <v>179</v>
      </c>
      <c r="S12" s="82" t="e">
        <f>S6-S10</f>
        <v>#DIV/0!</v>
      </c>
      <c r="T12" s="82"/>
      <c r="U12" s="82" t="e">
        <f>U6-U10</f>
        <v>#DIV/0!</v>
      </c>
      <c r="W12" s="82" t="e">
        <f>W6-W10</f>
        <v>#DIV/0!</v>
      </c>
      <c r="Y12" s="82" t="e">
        <f>Y6-Y10</f>
        <v>#DIV/0!</v>
      </c>
      <c r="AA12" s="82">
        <f>AA6-AA10</f>
        <v>0</v>
      </c>
      <c r="AC12" s="82">
        <f>AC6-AC10</f>
        <v>-3388378137.2607994</v>
      </c>
      <c r="AE12" s="82">
        <f>AE6-AE10</f>
        <v>-2441813709.7879004</v>
      </c>
      <c r="AG12" s="82">
        <f>AG6-AG10</f>
        <v>-1080358772.1635003</v>
      </c>
    </row>
    <row r="13" spans="1:33" x14ac:dyDescent="0.15">
      <c r="A13" s="74" t="s">
        <v>174</v>
      </c>
      <c r="B13" s="81" t="e">
        <f>B11*(1-B10)*C7+C8*B12</f>
        <v>#DIV/0!</v>
      </c>
      <c r="C13" s="74"/>
      <c r="D13" s="81" t="e">
        <f>D11*(1-D10)*E7+E8*D12</f>
        <v>#DIV/0!</v>
      </c>
      <c r="E13" s="74"/>
      <c r="F13" s="81" t="e">
        <f>F11*(1-F10)*G7+G8*F12</f>
        <v>#DIV/0!</v>
      </c>
      <c r="G13" s="74"/>
      <c r="H13" s="81" t="e">
        <f>H11*(1-H10)*I7+I8*H12</f>
        <v>#DIV/0!</v>
      </c>
      <c r="I13" s="74"/>
      <c r="J13" s="81">
        <f>J11*(1-J10)*K7+K8*J12</f>
        <v>0</v>
      </c>
      <c r="K13" s="219"/>
      <c r="L13" s="81">
        <f>L11*(1-L10)*M7+M8*L12</f>
        <v>5.7879204223723182E-2</v>
      </c>
      <c r="N13" s="81">
        <f>N11*(1-N10)*O7+O8*N12</f>
        <v>5.5029963299226048E-2</v>
      </c>
      <c r="P13" s="81">
        <f>P11*(1-P10)*Q7+Q8*P12</f>
        <v>3.1301097069096076E-2</v>
      </c>
      <c r="R13" s="74"/>
      <c r="S13" s="74"/>
      <c r="T13" s="74"/>
      <c r="U13" s="74"/>
      <c r="W13" s="74"/>
      <c r="Y13" s="74"/>
      <c r="AA13" s="74"/>
      <c r="AC13" s="74"/>
      <c r="AE13" s="74"/>
      <c r="AG13" s="74"/>
    </row>
    <row r="14" spans="1:33" x14ac:dyDescent="0.15">
      <c r="A14" s="74"/>
      <c r="B14" s="75"/>
      <c r="C14" s="74"/>
      <c r="D14" s="75"/>
      <c r="E14" s="74"/>
      <c r="F14" s="75"/>
      <c r="G14" s="74"/>
      <c r="H14" s="75"/>
      <c r="I14" s="74"/>
      <c r="J14" s="75"/>
      <c r="K14" s="219"/>
      <c r="L14" s="75"/>
      <c r="N14" s="75"/>
      <c r="P14" s="75"/>
      <c r="R14" s="74" t="s">
        <v>180</v>
      </c>
      <c r="S14" s="74"/>
      <c r="T14" s="74"/>
      <c r="U14" s="74"/>
      <c r="W14" s="74"/>
      <c r="Y14" s="74"/>
      <c r="AA14" s="74"/>
      <c r="AC14" s="74"/>
      <c r="AE14" s="74"/>
      <c r="AG14" s="74"/>
    </row>
    <row r="15" spans="1:33" x14ac:dyDescent="0.15">
      <c r="A15" s="74" t="s">
        <v>181</v>
      </c>
      <c r="B15" s="75">
        <v>0</v>
      </c>
      <c r="C15" s="74"/>
      <c r="D15" s="75">
        <v>0</v>
      </c>
      <c r="E15" s="74"/>
      <c r="F15" s="75">
        <v>0</v>
      </c>
      <c r="G15" s="74"/>
      <c r="H15" s="75">
        <v>0</v>
      </c>
      <c r="I15" s="74"/>
      <c r="J15" s="75">
        <v>0</v>
      </c>
      <c r="K15" s="219"/>
      <c r="L15" s="75">
        <f>'ESTRUCTURA ECONOMICA'!B21</f>
        <v>-2117776331</v>
      </c>
      <c r="N15" s="75">
        <f>'ESTRUCTURA ECONOMICA'!E21</f>
        <v>-1486428814</v>
      </c>
      <c r="P15" s="75">
        <f>'ESTRUCTURA ECONOMICA'!G21</f>
        <v>-1264999965</v>
      </c>
      <c r="R15" s="74" t="s">
        <v>182</v>
      </c>
      <c r="S15" s="75">
        <f>B25</f>
        <v>0</v>
      </c>
      <c r="T15" s="75"/>
      <c r="U15" s="75">
        <f>D25</f>
        <v>0</v>
      </c>
      <c r="W15" s="75">
        <f>F25</f>
        <v>0</v>
      </c>
      <c r="Y15" s="75">
        <f>H25</f>
        <v>0</v>
      </c>
      <c r="AA15" s="75">
        <f>J25</f>
        <v>0</v>
      </c>
      <c r="AC15" s="75">
        <f>L25</f>
        <v>623074145</v>
      </c>
      <c r="AE15" s="75">
        <f>N25</f>
        <v>638333412</v>
      </c>
      <c r="AG15" s="75">
        <f>P25</f>
        <v>524467786</v>
      </c>
    </row>
    <row r="16" spans="1:33" x14ac:dyDescent="0.15">
      <c r="A16" s="74" t="s">
        <v>183</v>
      </c>
      <c r="B16" s="75"/>
      <c r="C16" s="74"/>
      <c r="D16" s="75"/>
      <c r="E16" s="74"/>
      <c r="F16" s="75"/>
      <c r="G16" s="74"/>
      <c r="H16" s="75"/>
      <c r="I16" s="74"/>
      <c r="J16" s="75"/>
      <c r="K16" s="219"/>
      <c r="L16" s="75">
        <f>'ESTRUCTURA ECONOMICA'!B22+'ESTRUCTURA ECONOMICA'!B24+'ESTRUCTURA ECONOMICA'!B25</f>
        <v>2800324602</v>
      </c>
      <c r="N16" s="75">
        <f>'ESTRUCTURA ECONOMICA'!E22+'ESTRUCTURA ECONOMICA'!E24+'ESTRUCTURA ECONOMICA'!E25</f>
        <v>2163410759</v>
      </c>
      <c r="P16" s="75">
        <f>'ESTRUCTURA ECONOMICA'!G22+'ESTRUCTURA ECONOMICA'!G24+'ESTRUCTURA ECONOMICA'!G25</f>
        <v>1798435888</v>
      </c>
      <c r="R16" s="74" t="s">
        <v>184</v>
      </c>
      <c r="S16" s="75">
        <f>B12*B8</f>
        <v>0</v>
      </c>
      <c r="T16" s="75"/>
      <c r="U16" s="75">
        <f>D12*D8</f>
        <v>0</v>
      </c>
      <c r="W16" s="75">
        <f>F12*F8</f>
        <v>0</v>
      </c>
      <c r="Y16" s="75">
        <f>H12*H8</f>
        <v>0</v>
      </c>
      <c r="AA16" s="75">
        <f>J12*J8</f>
        <v>0</v>
      </c>
      <c r="AC16" s="75">
        <f>L12*L8</f>
        <v>4011452282.2607994</v>
      </c>
      <c r="AE16" s="75">
        <f>N12*N8</f>
        <v>3080147121.7879</v>
      </c>
      <c r="AG16" s="75">
        <f>P12*P8</f>
        <v>1604826558.1635003</v>
      </c>
    </row>
    <row r="17" spans="1:36" x14ac:dyDescent="0.15">
      <c r="A17" s="74" t="s">
        <v>185</v>
      </c>
      <c r="B17" s="75">
        <f>SUM(B15:B16)</f>
        <v>0</v>
      </c>
      <c r="C17" s="74"/>
      <c r="D17" s="75">
        <f>SUM(D15:D16)</f>
        <v>0</v>
      </c>
      <c r="E17" s="74"/>
      <c r="F17" s="75">
        <f>SUM(F15:F16)</f>
        <v>0</v>
      </c>
      <c r="G17" s="74"/>
      <c r="H17" s="75">
        <f>SUM(H15:H16)</f>
        <v>0</v>
      </c>
      <c r="I17" s="74"/>
      <c r="J17" s="75">
        <f>SUM(J15:J16)</f>
        <v>0</v>
      </c>
      <c r="K17" s="219"/>
      <c r="L17" s="75">
        <f>SUM(L15:L16)</f>
        <v>682548271</v>
      </c>
      <c r="N17" s="75">
        <f>SUM(N15:N16)</f>
        <v>676981945</v>
      </c>
      <c r="P17" s="75">
        <f>SUM(P15:P16)</f>
        <v>533435923</v>
      </c>
      <c r="R17" s="74"/>
      <c r="S17" s="74"/>
      <c r="T17" s="74"/>
      <c r="U17" s="74"/>
      <c r="W17" s="74"/>
      <c r="Y17" s="74"/>
      <c r="AA17" s="74"/>
      <c r="AC17" s="74"/>
      <c r="AE17" s="74"/>
      <c r="AG17" s="74"/>
    </row>
    <row r="18" spans="1:36" x14ac:dyDescent="0.15">
      <c r="A18" s="74"/>
      <c r="B18" s="75"/>
      <c r="C18" s="74"/>
      <c r="D18" s="75"/>
      <c r="E18" s="74"/>
      <c r="F18" s="75"/>
      <c r="G18" s="74"/>
      <c r="H18" s="75"/>
      <c r="I18" s="74"/>
      <c r="J18" s="75"/>
      <c r="K18" s="219"/>
      <c r="L18" s="75"/>
      <c r="N18" s="75"/>
      <c r="P18" s="75"/>
      <c r="R18" s="78" t="s">
        <v>179</v>
      </c>
      <c r="S18" s="82">
        <f>S15-S16</f>
        <v>0</v>
      </c>
      <c r="T18" s="82"/>
      <c r="U18" s="82">
        <f>U15-U16</f>
        <v>0</v>
      </c>
      <c r="W18" s="82">
        <f>W15-W16</f>
        <v>0</v>
      </c>
      <c r="Y18" s="82">
        <f>Y15-Y16</f>
        <v>0</v>
      </c>
      <c r="AA18" s="82">
        <f>AA15-AA16</f>
        <v>0</v>
      </c>
      <c r="AC18" s="82">
        <f>AC15-AC16</f>
        <v>-3388378137.2607994</v>
      </c>
      <c r="AE18" s="82">
        <f>AE15-AE16</f>
        <v>-2441813709.7879</v>
      </c>
      <c r="AG18" s="82">
        <f>AG15-AG16</f>
        <v>-1080358772.1635003</v>
      </c>
      <c r="AJ18" s="68" t="s">
        <v>292</v>
      </c>
    </row>
    <row r="19" spans="1:36" x14ac:dyDescent="0.15">
      <c r="A19" s="74" t="s">
        <v>186</v>
      </c>
      <c r="B19" s="75">
        <v>0</v>
      </c>
      <c r="C19" s="74"/>
      <c r="D19" s="75">
        <v>0</v>
      </c>
      <c r="E19" s="74"/>
      <c r="F19" s="75">
        <v>0</v>
      </c>
      <c r="G19" s="74"/>
      <c r="H19" s="75">
        <v>0</v>
      </c>
      <c r="I19" s="74"/>
      <c r="J19" s="75">
        <v>0</v>
      </c>
      <c r="K19" s="219"/>
      <c r="L19" s="75">
        <f>'ESTRUCTURA ECONOMICA'!B23</f>
        <v>0</v>
      </c>
      <c r="N19" s="75">
        <f>'ESTRUCTURA ECONOMICA'!E23</f>
        <v>0</v>
      </c>
      <c r="P19" s="75">
        <f>'ESTRUCTURA ECONOMICA'!G23</f>
        <v>0</v>
      </c>
      <c r="R19" s="74"/>
      <c r="S19" s="74"/>
      <c r="T19" s="74"/>
      <c r="U19" s="74"/>
      <c r="W19" s="74"/>
      <c r="Y19" s="74"/>
      <c r="AA19" s="74"/>
      <c r="AC19" s="74"/>
      <c r="AE19" s="74"/>
      <c r="AG19" s="74"/>
      <c r="AJ19" s="68" t="s">
        <v>293</v>
      </c>
    </row>
    <row r="20" spans="1:36" x14ac:dyDescent="0.15">
      <c r="A20" s="74"/>
      <c r="B20" s="75"/>
      <c r="C20" s="74"/>
      <c r="D20" s="75"/>
      <c r="E20" s="74"/>
      <c r="F20" s="75"/>
      <c r="G20" s="74"/>
      <c r="H20" s="75"/>
      <c r="I20" s="74"/>
      <c r="J20" s="75"/>
      <c r="K20" s="219"/>
      <c r="L20" s="75"/>
      <c r="N20" s="75"/>
      <c r="P20" s="75"/>
      <c r="R20" s="74"/>
      <c r="S20" s="82" t="e">
        <f>S12-S18</f>
        <v>#DIV/0!</v>
      </c>
      <c r="T20" s="82"/>
      <c r="U20" s="82" t="e">
        <f>U12-U18</f>
        <v>#DIV/0!</v>
      </c>
      <c r="W20" s="82" t="e">
        <f>W12-W18</f>
        <v>#DIV/0!</v>
      </c>
      <c r="Y20" s="82" t="e">
        <f>Y12-Y18</f>
        <v>#DIV/0!</v>
      </c>
      <c r="AA20" s="82">
        <f>AA12-AA18</f>
        <v>0</v>
      </c>
      <c r="AC20" s="82">
        <f>AC12-AC18</f>
        <v>0</v>
      </c>
      <c r="AE20" s="82">
        <f>AE12-AE18</f>
        <v>0</v>
      </c>
      <c r="AG20" s="82">
        <f>AG12-AG18</f>
        <v>0</v>
      </c>
    </row>
    <row r="21" spans="1:36" x14ac:dyDescent="0.15">
      <c r="A21" s="74" t="s">
        <v>187</v>
      </c>
      <c r="B21" s="75">
        <f>B17-B19</f>
        <v>0</v>
      </c>
      <c r="C21" s="74"/>
      <c r="D21" s="75">
        <f>D17-D19</f>
        <v>0</v>
      </c>
      <c r="E21" s="74"/>
      <c r="F21" s="75">
        <f>F17-F19</f>
        <v>0</v>
      </c>
      <c r="G21" s="74"/>
      <c r="H21" s="75">
        <f>H17-H19</f>
        <v>0</v>
      </c>
      <c r="I21" s="74"/>
      <c r="J21" s="75">
        <f>J17-J19</f>
        <v>0</v>
      </c>
      <c r="K21" s="219"/>
      <c r="L21" s="75">
        <f>L17-L19</f>
        <v>682548271</v>
      </c>
      <c r="N21" s="75">
        <f>N17-N19</f>
        <v>676981945</v>
      </c>
      <c r="P21" s="75">
        <f>P17-P19</f>
        <v>533435923</v>
      </c>
      <c r="R21" s="74"/>
      <c r="S21" s="82"/>
      <c r="T21" s="82"/>
      <c r="U21" s="82"/>
      <c r="W21" s="82"/>
      <c r="Y21" s="82"/>
      <c r="AA21" s="82"/>
      <c r="AC21" s="82"/>
      <c r="AE21" s="82"/>
      <c r="AG21" s="82"/>
    </row>
    <row r="22" spans="1:36" x14ac:dyDescent="0.15">
      <c r="A22" s="74"/>
      <c r="B22" s="75"/>
      <c r="C22" s="74"/>
      <c r="D22" s="75"/>
      <c r="E22" s="74"/>
      <c r="F22" s="75"/>
      <c r="G22" s="74"/>
      <c r="H22" s="75"/>
      <c r="I22" s="74"/>
      <c r="J22" s="75"/>
      <c r="K22" s="219"/>
      <c r="L22" s="75"/>
      <c r="N22" s="75"/>
      <c r="P22" s="75"/>
    </row>
    <row r="23" spans="1:36" ht="19" x14ac:dyDescent="0.25">
      <c r="A23" s="74" t="s">
        <v>188</v>
      </c>
      <c r="B23" s="75">
        <v>0</v>
      </c>
      <c r="C23" s="74"/>
      <c r="D23" s="75">
        <v>0</v>
      </c>
      <c r="E23" s="74"/>
      <c r="F23" s="75">
        <v>0</v>
      </c>
      <c r="G23" s="74"/>
      <c r="H23" s="75">
        <v>0</v>
      </c>
      <c r="I23" s="74"/>
      <c r="J23" s="75">
        <v>0</v>
      </c>
      <c r="K23" s="219"/>
      <c r="L23" s="75">
        <f>'ESTRUCTURA ECONOMICA'!B30-'ESTRUCTURA ECONOMICA'!B28</f>
        <v>59474126</v>
      </c>
      <c r="N23" s="75">
        <f>'ESTRUCTURA ECONOMICA'!E30-'ESTRUCTURA ECONOMICA'!E28</f>
        <v>38648533</v>
      </c>
      <c r="P23" s="75">
        <f>'ESTRUCTURA ECONOMICA'!G30-'ESTRUCTURA ECONOMICA'!G28</f>
        <v>8968137</v>
      </c>
      <c r="R23" s="83"/>
      <c r="S23" s="84"/>
      <c r="T23" s="84"/>
      <c r="U23" s="84"/>
      <c r="W23" s="84"/>
      <c r="Y23" s="84"/>
      <c r="AA23" s="84"/>
      <c r="AC23" s="84"/>
    </row>
    <row r="24" spans="1:36" x14ac:dyDescent="0.15">
      <c r="A24" s="74"/>
      <c r="B24" s="75"/>
      <c r="C24" s="74"/>
      <c r="D24" s="75"/>
      <c r="E24" s="74"/>
      <c r="F24" s="75"/>
      <c r="G24" s="74"/>
      <c r="H24" s="75"/>
      <c r="I24" s="74"/>
      <c r="J24" s="75"/>
      <c r="K24" s="219"/>
      <c r="L24" s="75"/>
      <c r="N24" s="75"/>
      <c r="P24" s="75"/>
      <c r="S24" s="84"/>
      <c r="T24" s="84"/>
      <c r="U24" s="84"/>
      <c r="W24" s="84"/>
      <c r="Y24" s="84"/>
      <c r="AA24" s="84"/>
      <c r="AC24" s="84"/>
    </row>
    <row r="25" spans="1:36" x14ac:dyDescent="0.15">
      <c r="A25" s="78" t="s">
        <v>189</v>
      </c>
      <c r="B25" s="82">
        <f>B21-B23</f>
        <v>0</v>
      </c>
      <c r="C25" s="78"/>
      <c r="D25" s="82">
        <f>D21-D23</f>
        <v>0</v>
      </c>
      <c r="E25" s="78"/>
      <c r="F25" s="82">
        <f>F21-F23</f>
        <v>0</v>
      </c>
      <c r="G25" s="78"/>
      <c r="H25" s="82">
        <f>H21-H23</f>
        <v>0</v>
      </c>
      <c r="I25" s="78"/>
      <c r="J25" s="82">
        <f>J21-J23</f>
        <v>0</v>
      </c>
      <c r="K25" s="221"/>
      <c r="L25" s="82">
        <f>L21-L23</f>
        <v>623074145</v>
      </c>
      <c r="M25" s="85"/>
      <c r="N25" s="82">
        <f>N21-N23</f>
        <v>638333412</v>
      </c>
      <c r="P25" s="82">
        <f>P21-P23</f>
        <v>524467786</v>
      </c>
      <c r="S25" s="80"/>
      <c r="T25" s="80"/>
      <c r="U25" s="80"/>
      <c r="W25" s="80"/>
      <c r="Y25" s="80"/>
      <c r="AA25" s="80"/>
      <c r="AC25" s="80"/>
    </row>
    <row r="26" spans="1:36" x14ac:dyDescent="0.15">
      <c r="L26" s="86">
        <f>L25-'ESTRUCTURA ECONOMICA'!B31</f>
        <v>0</v>
      </c>
      <c r="N26" s="86">
        <f>N25-'ESTRUCTURA ECONOMICA'!E31</f>
        <v>0</v>
      </c>
      <c r="P26" s="86">
        <f>P25-'ESTRUCTURA ECONOMICA'!G31</f>
        <v>0</v>
      </c>
    </row>
    <row r="27" spans="1:36" x14ac:dyDescent="0.15">
      <c r="F27" s="86"/>
      <c r="H27" s="86"/>
      <c r="J27" s="86"/>
      <c r="L27" s="86"/>
      <c r="N27" s="86"/>
      <c r="P27" s="86"/>
    </row>
    <row r="29" spans="1:36" x14ac:dyDescent="0.15">
      <c r="A29" s="168" t="s">
        <v>190</v>
      </c>
      <c r="B29" s="168">
        <f>B2</f>
        <v>0</v>
      </c>
      <c r="C29" s="168"/>
      <c r="D29" s="168">
        <f>D2</f>
        <v>0</v>
      </c>
      <c r="E29" s="168"/>
      <c r="F29" s="168">
        <f>F2</f>
        <v>0</v>
      </c>
      <c r="G29" s="168"/>
      <c r="H29" s="168">
        <f>H2</f>
        <v>0</v>
      </c>
      <c r="I29" s="168"/>
      <c r="J29" s="168">
        <f>J2</f>
        <v>0</v>
      </c>
      <c r="K29" s="167"/>
      <c r="L29" s="168">
        <f>L2</f>
        <v>45657</v>
      </c>
      <c r="M29" s="167"/>
      <c r="N29" s="168">
        <f>N2</f>
        <v>45291</v>
      </c>
      <c r="O29" s="167"/>
      <c r="P29" s="168">
        <f>P2</f>
        <v>44926</v>
      </c>
      <c r="R29" s="86"/>
    </row>
    <row r="30" spans="1:36" x14ac:dyDescent="0.15">
      <c r="A30" s="87" t="s">
        <v>191</v>
      </c>
      <c r="B30" s="88">
        <v>0.43132028492352825</v>
      </c>
      <c r="C30" s="89"/>
      <c r="D30" s="88">
        <v>0.43132028492352825</v>
      </c>
      <c r="E30" s="88"/>
      <c r="F30" s="88">
        <v>0.43132028492352797</v>
      </c>
      <c r="G30" s="88"/>
      <c r="H30" s="88">
        <v>0.43132028492352797</v>
      </c>
      <c r="I30" s="88"/>
      <c r="J30" s="88">
        <v>0.6</v>
      </c>
      <c r="L30" s="285">
        <f>L35+L31</f>
        <v>0.8536999999999999</v>
      </c>
      <c r="N30" s="285">
        <f>N35+N31</f>
        <v>0.75370000000000004</v>
      </c>
      <c r="P30" s="285">
        <f>P35+P31</f>
        <v>0.55370000000000008</v>
      </c>
    </row>
    <row r="31" spans="1:36" x14ac:dyDescent="0.15">
      <c r="A31" s="87" t="s">
        <v>192</v>
      </c>
      <c r="B31" s="88">
        <v>0.1537</v>
      </c>
      <c r="C31" s="89"/>
      <c r="D31" s="88">
        <v>0.1537</v>
      </c>
      <c r="E31" s="88"/>
      <c r="F31" s="88">
        <v>0.1537</v>
      </c>
      <c r="G31" s="88"/>
      <c r="H31" s="88">
        <v>0.1537</v>
      </c>
      <c r="I31" s="88"/>
      <c r="J31" s="88">
        <v>0.1537</v>
      </c>
      <c r="L31" s="134">
        <v>0.1537</v>
      </c>
      <c r="M31" s="116"/>
      <c r="N31" s="134">
        <v>0.1537</v>
      </c>
      <c r="O31" s="116"/>
      <c r="P31" s="134">
        <v>0.1537</v>
      </c>
    </row>
    <row r="33" spans="1:16" x14ac:dyDescent="0.15">
      <c r="A33" s="87" t="s">
        <v>294</v>
      </c>
      <c r="L33" s="134" t="s">
        <v>293</v>
      </c>
    </row>
    <row r="35" spans="1:16" x14ac:dyDescent="0.15">
      <c r="A35" s="87" t="s">
        <v>295</v>
      </c>
      <c r="B35" s="88"/>
      <c r="C35" s="89"/>
      <c r="D35" s="88"/>
      <c r="E35" s="88"/>
      <c r="F35" s="88"/>
      <c r="G35" s="88"/>
      <c r="H35" s="88"/>
      <c r="I35" s="88"/>
      <c r="J35" s="88"/>
      <c r="L35" s="134">
        <v>0.7</v>
      </c>
      <c r="M35" s="116"/>
      <c r="N35" s="134">
        <v>0.6</v>
      </c>
      <c r="O35" s="116"/>
      <c r="P35" s="134">
        <v>0.4</v>
      </c>
    </row>
  </sheetData>
  <mergeCells count="1">
    <mergeCell ref="A1:C1"/>
  </mergeCells>
  <dataValidations count="1">
    <dataValidation type="list" allowBlank="1" showInputMessage="1" showErrorMessage="1" sqref="L33" xr:uid="{00000000-0002-0000-0800-000000000000}">
      <formula1>$AJ$18:$AJ$19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S36"/>
  <sheetViews>
    <sheetView showGridLines="0" tabSelected="1" workbookViewId="0">
      <selection activeCell="E32" sqref="E32"/>
    </sheetView>
  </sheetViews>
  <sheetFormatPr baseColWidth="10" defaultColWidth="10.83203125" defaultRowHeight="13" x14ac:dyDescent="0.15"/>
  <cols>
    <col min="1" max="1" width="9.83203125" bestFit="1" customWidth="1"/>
    <col min="2" max="3" width="9.5" customWidth="1"/>
    <col min="4" max="4" width="4.5" customWidth="1"/>
    <col min="5" max="5" width="9.83203125" style="169" bestFit="1" customWidth="1"/>
    <col min="6" max="6" width="11" customWidth="1"/>
    <col min="7" max="7" width="13.5" customWidth="1"/>
    <col min="8" max="8" width="6" customWidth="1"/>
    <col min="9" max="9" width="9.83203125" style="169" bestFit="1" customWidth="1"/>
    <col min="10" max="10" width="9.83203125" customWidth="1"/>
    <col min="11" max="11" width="8.1640625" customWidth="1"/>
    <col min="12" max="12" width="4.5" customWidth="1"/>
    <col min="13" max="13" width="9.83203125" style="169" bestFit="1" customWidth="1"/>
    <col min="14" max="14" width="9.5" customWidth="1"/>
    <col min="15" max="15" width="8.5" customWidth="1"/>
    <col min="16" max="16" width="4.83203125" customWidth="1"/>
    <col min="17" max="17" width="9.83203125" style="169" bestFit="1" customWidth="1"/>
    <col min="18" max="18" width="9.5" customWidth="1"/>
    <col min="19" max="19" width="12.5" customWidth="1"/>
  </cols>
  <sheetData>
    <row r="1" spans="1:19" ht="14" thickBot="1" x14ac:dyDescent="0.2"/>
    <row r="2" spans="1:19" ht="17" thickBot="1" x14ac:dyDescent="0.25">
      <c r="B2" s="357" t="s">
        <v>208</v>
      </c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9"/>
    </row>
    <row r="4" spans="1:19" x14ac:dyDescent="0.15">
      <c r="R4" s="354" t="s">
        <v>193</v>
      </c>
      <c r="S4" s="354"/>
    </row>
    <row r="5" spans="1:19" x14ac:dyDescent="0.15">
      <c r="L5" s="5"/>
      <c r="Q5" s="169">
        <f>M7</f>
        <v>45657</v>
      </c>
      <c r="R5" s="351">
        <f>'ESTRUCTURA ECONOMICA'!B15</f>
        <v>4514441475</v>
      </c>
      <c r="S5" s="352"/>
    </row>
    <row r="6" spans="1:19" x14ac:dyDescent="0.15">
      <c r="L6" s="5"/>
      <c r="N6" s="354" t="s">
        <v>194</v>
      </c>
      <c r="O6" s="354"/>
      <c r="Q6" s="169">
        <f t="shared" ref="Q6:Q7" si="0">M8</f>
        <v>45291</v>
      </c>
      <c r="R6" s="351">
        <f>'ESTRUCTURA ECONOMICA'!E15</f>
        <v>3698796021</v>
      </c>
      <c r="S6" s="352"/>
    </row>
    <row r="7" spans="1:19" ht="12.75" customHeight="1" x14ac:dyDescent="0.15">
      <c r="J7" s="354" t="s">
        <v>194</v>
      </c>
      <c r="K7" s="354"/>
      <c r="L7" s="5"/>
      <c r="M7" s="169">
        <f>I8</f>
        <v>45657</v>
      </c>
      <c r="N7" s="351">
        <f>J8</f>
        <v>7296960590</v>
      </c>
      <c r="O7" s="352"/>
      <c r="Q7" s="169">
        <f t="shared" si="0"/>
        <v>44926</v>
      </c>
      <c r="R7" s="351">
        <f>'ESTRUCTURA ECONOMICA'!G15</f>
        <v>2742085141</v>
      </c>
      <c r="S7" s="352"/>
    </row>
    <row r="8" spans="1:19" x14ac:dyDescent="0.15">
      <c r="F8" s="131" t="s">
        <v>159</v>
      </c>
      <c r="G8" s="132"/>
      <c r="I8" s="169">
        <f>A15</f>
        <v>45657</v>
      </c>
      <c r="J8" s="351">
        <f>'ESTRUCTURA ECONOMICA'!B10</f>
        <v>7296960590</v>
      </c>
      <c r="K8" s="352"/>
      <c r="L8" s="5"/>
      <c r="M8" s="169">
        <f t="shared" ref="M8:M9" si="1">I9</f>
        <v>45291</v>
      </c>
      <c r="N8" s="351">
        <f>J9</f>
        <v>6055909264</v>
      </c>
      <c r="O8" s="352"/>
    </row>
    <row r="9" spans="1:19" x14ac:dyDescent="0.15">
      <c r="E9" s="169">
        <f>A15</f>
        <v>45657</v>
      </c>
      <c r="F9" s="355">
        <f>J14/J8</f>
        <v>8.5388174612575238E-2</v>
      </c>
      <c r="G9" s="355"/>
      <c r="I9" s="169">
        <f t="shared" ref="I9:I10" si="2">A16</f>
        <v>45291</v>
      </c>
      <c r="J9" s="351">
        <f>'ESTRUCTURA ECONOMICA'!E10</f>
        <v>6055909264</v>
      </c>
      <c r="K9" s="352"/>
      <c r="L9" s="5"/>
      <c r="M9" s="169">
        <f t="shared" si="1"/>
        <v>44926</v>
      </c>
      <c r="N9" s="351">
        <f>J10</f>
        <v>4357637360</v>
      </c>
      <c r="O9" s="352"/>
      <c r="R9" s="354" t="s">
        <v>196</v>
      </c>
      <c r="S9" s="354"/>
    </row>
    <row r="10" spans="1:19" x14ac:dyDescent="0.15">
      <c r="E10" s="169">
        <f t="shared" ref="E10:E11" si="3">A16</f>
        <v>45291</v>
      </c>
      <c r="F10" s="355">
        <f>J15/J9</f>
        <v>0.10540670016221036</v>
      </c>
      <c r="G10" s="355"/>
      <c r="I10" s="169">
        <f t="shared" si="2"/>
        <v>44926</v>
      </c>
      <c r="J10" s="351">
        <f>'ESTRUCTURA ECONOMICA'!G10</f>
        <v>4357637360</v>
      </c>
      <c r="K10" s="352"/>
      <c r="L10" s="5"/>
      <c r="Q10" s="169">
        <f>Q5</f>
        <v>45657</v>
      </c>
      <c r="R10" s="351">
        <f>'ESTRUCTURA ECONOMICA'!B20+'ESTRUCTURA ECONOMICA'!B17+'ESTRUCTURA ECONOMICA'!B18+'ESTRUCTURA ECONOMICA'!B19</f>
        <v>4900295446</v>
      </c>
      <c r="S10" s="352"/>
    </row>
    <row r="11" spans="1:19" x14ac:dyDescent="0.15">
      <c r="E11" s="169">
        <f t="shared" si="3"/>
        <v>44926</v>
      </c>
      <c r="F11" s="355">
        <f>J16/J10</f>
        <v>0.12035599630530064</v>
      </c>
      <c r="G11" s="355"/>
      <c r="L11" s="5"/>
      <c r="Q11" s="169">
        <f t="shared" ref="Q11:Q12" si="4">Q6</f>
        <v>45291</v>
      </c>
      <c r="R11" s="351">
        <f>'ESTRUCTURA ECONOMICA'!E17+'ESTRUCTURA ECONOMICA'!E18+'ESTRUCTURA ECONOMICA'!E19+'ESTRUCTURA ECONOMICA'!E20</f>
        <v>3843542057</v>
      </c>
      <c r="S11" s="352"/>
    </row>
    <row r="12" spans="1:19" x14ac:dyDescent="0.15">
      <c r="L12" s="5"/>
      <c r="N12" s="354" t="s">
        <v>197</v>
      </c>
      <c r="O12" s="354"/>
      <c r="Q12" s="169">
        <f t="shared" si="4"/>
        <v>44926</v>
      </c>
      <c r="R12" s="351">
        <f>'ESTRUCTURA ECONOMICA'!G17+'ESTRUCTURA ECONOMICA'!G18+'ESTRUCTURA ECONOMICA'!G19+'ESTRUCTURA ECONOMICA'!G20</f>
        <v>2880552184</v>
      </c>
      <c r="S12" s="352"/>
    </row>
    <row r="13" spans="1:19" ht="12.75" customHeight="1" x14ac:dyDescent="0.15">
      <c r="B13" s="356" t="s">
        <v>199</v>
      </c>
      <c r="C13" s="356"/>
      <c r="J13" s="354" t="s">
        <v>195</v>
      </c>
      <c r="K13" s="354"/>
      <c r="L13" s="5"/>
      <c r="M13" s="169">
        <f>M7</f>
        <v>45657</v>
      </c>
      <c r="N13" s="351">
        <f>R5+R10-R15</f>
        <v>6614412319</v>
      </c>
      <c r="O13" s="352"/>
    </row>
    <row r="14" spans="1:19" x14ac:dyDescent="0.15">
      <c r="B14" s="356"/>
      <c r="C14" s="356"/>
      <c r="I14" s="169">
        <f>I8</f>
        <v>45657</v>
      </c>
      <c r="J14" s="351">
        <f>N7-N13-J20</f>
        <v>623074145</v>
      </c>
      <c r="K14" s="352"/>
      <c r="L14" s="5"/>
      <c r="M14" s="169">
        <f t="shared" ref="M14:M15" si="5">M8</f>
        <v>45291</v>
      </c>
      <c r="N14" s="351">
        <f>R6+R11-R16</f>
        <v>5378927319</v>
      </c>
      <c r="O14" s="352"/>
      <c r="R14" s="354" t="s">
        <v>198</v>
      </c>
      <c r="S14" s="354"/>
    </row>
    <row r="15" spans="1:19" x14ac:dyDescent="0.15">
      <c r="A15" s="169">
        <f>'RENTABILIDAD-BENEFICIOS'!B7</f>
        <v>45657</v>
      </c>
      <c r="B15" s="355">
        <f>F9*F19</f>
        <v>8.9900198600024427E-3</v>
      </c>
      <c r="C15" s="355"/>
      <c r="I15" s="169">
        <f t="shared" ref="I15:I16" si="6">I9</f>
        <v>45291</v>
      </c>
      <c r="J15" s="351">
        <f>N8-N14-J21</f>
        <v>638333412</v>
      </c>
      <c r="K15" s="352"/>
      <c r="L15" s="5"/>
      <c r="M15" s="169">
        <f t="shared" si="5"/>
        <v>44926</v>
      </c>
      <c r="N15" s="351">
        <f>R7+R12-R17</f>
        <v>3824201437</v>
      </c>
      <c r="O15" s="352"/>
      <c r="Q15" s="169">
        <f>Q10</f>
        <v>45657</v>
      </c>
      <c r="R15" s="351">
        <f>'ESTRUCTURA ECONOMICA'!B26+'ESTRUCTURA ECONOMICA'!B28</f>
        <v>2800324602</v>
      </c>
      <c r="S15" s="352"/>
    </row>
    <row r="16" spans="1:19" x14ac:dyDescent="0.15">
      <c r="A16" s="169">
        <f>'RENTABILIDAD-BENEFICIOS'!D7</f>
        <v>45291</v>
      </c>
      <c r="B16" s="355">
        <f>F10*F20</f>
        <v>1.1404476100037609E-2</v>
      </c>
      <c r="C16" s="355"/>
      <c r="I16" s="169">
        <f t="shared" si="6"/>
        <v>44926</v>
      </c>
      <c r="J16" s="351">
        <f>N9-N15-J22</f>
        <v>524467786</v>
      </c>
      <c r="K16" s="352"/>
      <c r="L16" s="5"/>
      <c r="Q16" s="169">
        <f t="shared" ref="Q16:Q17" si="7">Q11</f>
        <v>45291</v>
      </c>
      <c r="R16" s="349">
        <f>'ESTRUCTURA ECONOMICA'!E26+'ESTRUCTURA ECONOMICA'!E28</f>
        <v>2163410759</v>
      </c>
      <c r="S16" s="350"/>
    </row>
    <row r="17" spans="1:19" x14ac:dyDescent="0.15">
      <c r="A17" s="169">
        <f>'RENTABILIDAD-BENEFICIOS'!F7</f>
        <v>44926</v>
      </c>
      <c r="B17" s="355">
        <f>F11*F21</f>
        <v>1.0229402670146614E-2</v>
      </c>
      <c r="C17" s="355"/>
      <c r="L17" s="5"/>
      <c r="Q17" s="169">
        <f t="shared" si="7"/>
        <v>44926</v>
      </c>
      <c r="R17" s="349">
        <f>'ESTRUCTURA ECONOMICA'!G26+'ESTRUCTURA ECONOMICA'!G28</f>
        <v>1798435888</v>
      </c>
      <c r="S17" s="350"/>
    </row>
    <row r="18" spans="1:19" x14ac:dyDescent="0.15">
      <c r="F18" s="354" t="s">
        <v>202</v>
      </c>
      <c r="G18" s="354"/>
      <c r="L18" s="5"/>
      <c r="N18" s="354" t="s">
        <v>203</v>
      </c>
      <c r="O18" s="354"/>
    </row>
    <row r="19" spans="1:19" x14ac:dyDescent="0.15">
      <c r="E19" s="169">
        <f>A15</f>
        <v>45657</v>
      </c>
      <c r="F19" s="355">
        <f>J8/J25</f>
        <v>0.10528413215052462</v>
      </c>
      <c r="G19" s="355"/>
      <c r="J19" s="354" t="s">
        <v>200</v>
      </c>
      <c r="K19" s="354"/>
      <c r="L19" s="5"/>
      <c r="M19" s="169">
        <f>M13</f>
        <v>45657</v>
      </c>
      <c r="N19" s="351">
        <f>R20+R25+R30</f>
        <v>68276001781</v>
      </c>
      <c r="O19" s="352"/>
      <c r="R19" s="353" t="s">
        <v>201</v>
      </c>
      <c r="S19" s="331"/>
    </row>
    <row r="20" spans="1:19" x14ac:dyDescent="0.15">
      <c r="E20" s="169">
        <f t="shared" ref="E20:E21" si="8">A16</f>
        <v>45291</v>
      </c>
      <c r="F20" s="355">
        <f>J9/J26</f>
        <v>0.1081949826954763</v>
      </c>
      <c r="G20" s="355"/>
      <c r="I20" s="169">
        <f>I14</f>
        <v>45657</v>
      </c>
      <c r="J20" s="351">
        <f>'ESTRUCTURA ECONOMICA'!B30</f>
        <v>59474126</v>
      </c>
      <c r="K20" s="352"/>
      <c r="L20" s="5"/>
      <c r="M20" s="169">
        <f t="shared" ref="M20:M21" si="9">M14</f>
        <v>45291</v>
      </c>
      <c r="N20" s="351">
        <f>R21+R26+R31</f>
        <v>54982369783</v>
      </c>
      <c r="O20" s="352"/>
      <c r="Q20" s="169">
        <f>Q15</f>
        <v>45657</v>
      </c>
      <c r="R20" s="351">
        <f>'ESTRUCTURA FINANCIERA'!B10+'ESTRUCTURA FINANCIERA'!B11</f>
        <v>28815585127</v>
      </c>
      <c r="S20" s="352"/>
    </row>
    <row r="21" spans="1:19" x14ac:dyDescent="0.15">
      <c r="E21" s="169">
        <f t="shared" si="8"/>
        <v>44926</v>
      </c>
      <c r="F21" s="355">
        <f>J10/J27</f>
        <v>8.4992879326080545E-2</v>
      </c>
      <c r="G21" s="355"/>
      <c r="I21" s="169">
        <f t="shared" ref="I21:I22" si="10">I15</f>
        <v>45291</v>
      </c>
      <c r="J21" s="351">
        <f>'ESTRUCTURA ECONOMICA'!E30</f>
        <v>38648533</v>
      </c>
      <c r="K21" s="352"/>
      <c r="L21" s="5"/>
      <c r="M21" s="169">
        <f t="shared" si="9"/>
        <v>44926</v>
      </c>
      <c r="N21" s="351">
        <f>R22+R27+R32</f>
        <v>50414009559</v>
      </c>
      <c r="O21" s="352"/>
      <c r="Q21" s="169">
        <f t="shared" ref="Q21:Q22" si="11">Q16</f>
        <v>45291</v>
      </c>
      <c r="R21" s="349">
        <f>'ESTRUCTURA FINANCIERA'!D10+'ESTRUCTURA FINANCIERA'!D11</f>
        <v>23842287533</v>
      </c>
      <c r="S21" s="350"/>
    </row>
    <row r="22" spans="1:19" x14ac:dyDescent="0.15">
      <c r="I22" s="169">
        <f t="shared" si="10"/>
        <v>44926</v>
      </c>
      <c r="J22" s="351">
        <f>'ESTRUCTURA ECONOMICA'!G30</f>
        <v>8968137</v>
      </c>
      <c r="K22" s="352"/>
      <c r="L22" s="5"/>
      <c r="Q22" s="169">
        <f t="shared" si="11"/>
        <v>44926</v>
      </c>
      <c r="R22" s="349">
        <f>'ESTRUCTURA FINANCIERA'!F10+'ESTRUCTURA FINANCIERA'!F11</f>
        <v>23386091857</v>
      </c>
      <c r="S22" s="350"/>
    </row>
    <row r="23" spans="1:19" x14ac:dyDescent="0.15">
      <c r="C23" s="279">
        <f>B15-INDICES!B43</f>
        <v>0</v>
      </c>
      <c r="L23" s="5"/>
    </row>
    <row r="24" spans="1:19" x14ac:dyDescent="0.15">
      <c r="C24" s="279">
        <f>B16-INDICES!D43</f>
        <v>0</v>
      </c>
      <c r="J24" s="353" t="s">
        <v>205</v>
      </c>
      <c r="K24" s="331"/>
      <c r="L24" s="5"/>
      <c r="N24" s="354" t="s">
        <v>206</v>
      </c>
      <c r="O24" s="354"/>
      <c r="R24" s="353" t="s">
        <v>204</v>
      </c>
      <c r="S24" s="331"/>
    </row>
    <row r="25" spans="1:19" x14ac:dyDescent="0.15">
      <c r="C25" s="279">
        <f>B17-INDICES!F43</f>
        <v>0</v>
      </c>
      <c r="I25" s="169">
        <f>I20</f>
        <v>45657</v>
      </c>
      <c r="J25" s="349">
        <f>N19+N25</f>
        <v>69307315746</v>
      </c>
      <c r="K25" s="350"/>
      <c r="L25" s="5"/>
      <c r="M25" s="169">
        <f>M19</f>
        <v>45657</v>
      </c>
      <c r="N25" s="351">
        <f>'ESTRUCTURA FINANCIERA'!B29</f>
        <v>1031313965</v>
      </c>
      <c r="O25" s="352"/>
      <c r="Q25" s="169">
        <f>Q20</f>
        <v>45657</v>
      </c>
      <c r="R25" s="351">
        <f>'ESTRUCTURA FINANCIERA'!B12+'ESTRUCTURA FINANCIERA'!B13+'ESTRUCTURA FINANCIERA'!B14+'ESTRUCTURA FINANCIERA'!B16</f>
        <v>39440594955</v>
      </c>
      <c r="S25" s="352"/>
    </row>
    <row r="26" spans="1:19" x14ac:dyDescent="0.15">
      <c r="I26" s="169">
        <f t="shared" ref="I26:I27" si="12">I21</f>
        <v>45291</v>
      </c>
      <c r="J26" s="349">
        <f>N20+N26</f>
        <v>55972182010</v>
      </c>
      <c r="K26" s="350"/>
      <c r="L26" s="5"/>
      <c r="M26" s="169">
        <f t="shared" ref="M26:M27" si="13">M20</f>
        <v>45291</v>
      </c>
      <c r="N26" s="349">
        <f>'ESTRUCTURA FINANCIERA'!D29</f>
        <v>989812227</v>
      </c>
      <c r="O26" s="350"/>
      <c r="Q26" s="169">
        <f t="shared" ref="Q26:Q27" si="14">Q21</f>
        <v>45291</v>
      </c>
      <c r="R26" s="349">
        <f>'ESTRUCTURA FINANCIERA'!D12+'ESTRUCTURA FINANCIERA'!D13+'ESTRUCTURA FINANCIERA'!D14+'ESTRUCTURA FINANCIERA'!D16</f>
        <v>31063497323</v>
      </c>
      <c r="S26" s="350"/>
    </row>
    <row r="27" spans="1:19" x14ac:dyDescent="0.15">
      <c r="I27" s="169">
        <f t="shared" si="12"/>
        <v>44926</v>
      </c>
      <c r="J27" s="351">
        <f>N21+N27</f>
        <v>51270616957</v>
      </c>
      <c r="K27" s="352"/>
      <c r="L27" s="5"/>
      <c r="M27" s="169">
        <f t="shared" si="13"/>
        <v>44926</v>
      </c>
      <c r="N27" s="349">
        <f>'ESTRUCTURA FINANCIERA'!F29</f>
        <v>856607398</v>
      </c>
      <c r="O27" s="350"/>
      <c r="Q27" s="169">
        <f t="shared" si="14"/>
        <v>44926</v>
      </c>
      <c r="R27" s="349">
        <f>'ESTRUCTURA FINANCIERA'!F12+'ESTRUCTURA FINANCIERA'!F13+'ESTRUCTURA FINANCIERA'!F14+'ESTRUCTURA FINANCIERA'!F16</f>
        <v>26914743309</v>
      </c>
      <c r="S27" s="350"/>
    </row>
    <row r="29" spans="1:19" x14ac:dyDescent="0.15">
      <c r="G29" s="279">
        <f>J14-'ESTRUCTURA ECONOMICA'!B31</f>
        <v>0</v>
      </c>
      <c r="R29" s="353" t="s">
        <v>207</v>
      </c>
      <c r="S29" s="331"/>
    </row>
    <row r="30" spans="1:19" x14ac:dyDescent="0.15">
      <c r="F30" s="133"/>
      <c r="G30" s="279">
        <f>G29/2</f>
        <v>0</v>
      </c>
      <c r="Q30" s="169">
        <f>Q25</f>
        <v>45657</v>
      </c>
      <c r="R30" s="351">
        <f>'ESTRUCTURA FINANCIERA'!B15</f>
        <v>19821699</v>
      </c>
      <c r="S30" s="352"/>
    </row>
    <row r="31" spans="1:19" x14ac:dyDescent="0.15">
      <c r="G31" s="279">
        <f>G29*2</f>
        <v>0</v>
      </c>
      <c r="Q31" s="169">
        <f>Q26</f>
        <v>45291</v>
      </c>
      <c r="R31" s="349">
        <f>'ESTRUCTURA FINANCIERA'!D15</f>
        <v>76584927</v>
      </c>
      <c r="S31" s="350"/>
    </row>
    <row r="32" spans="1:19" x14ac:dyDescent="0.15">
      <c r="G32" s="280"/>
      <c r="Q32" s="169">
        <f>Q27</f>
        <v>44926</v>
      </c>
      <c r="R32" s="349">
        <f>'ESTRUCTURA FINANCIERA'!F15</f>
        <v>113174393</v>
      </c>
      <c r="S32" s="350"/>
    </row>
    <row r="33" spans="7:13" x14ac:dyDescent="0.15">
      <c r="G33" s="280"/>
    </row>
    <row r="34" spans="7:13" x14ac:dyDescent="0.15">
      <c r="G34" s="280"/>
    </row>
    <row r="35" spans="7:13" x14ac:dyDescent="0.15">
      <c r="G35" s="280"/>
      <c r="M35" s="170"/>
    </row>
    <row r="36" spans="7:13" x14ac:dyDescent="0.15">
      <c r="G36" s="280"/>
    </row>
  </sheetData>
  <mergeCells count="68">
    <mergeCell ref="B2:S2"/>
    <mergeCell ref="R4:S4"/>
    <mergeCell ref="R5:S5"/>
    <mergeCell ref="N6:O6"/>
    <mergeCell ref="J13:K13"/>
    <mergeCell ref="N7:O7"/>
    <mergeCell ref="R9:S9"/>
    <mergeCell ref="R6:S6"/>
    <mergeCell ref="R7:S7"/>
    <mergeCell ref="R10:S10"/>
    <mergeCell ref="F9:G9"/>
    <mergeCell ref="N12:O12"/>
    <mergeCell ref="J7:K7"/>
    <mergeCell ref="N13:O13"/>
    <mergeCell ref="F10:G10"/>
    <mergeCell ref="J8:K8"/>
    <mergeCell ref="B13:C14"/>
    <mergeCell ref="B15:C15"/>
    <mergeCell ref="F11:G11"/>
    <mergeCell ref="J14:K14"/>
    <mergeCell ref="J15:K15"/>
    <mergeCell ref="J9:K9"/>
    <mergeCell ref="J10:K10"/>
    <mergeCell ref="F19:G19"/>
    <mergeCell ref="N19:O19"/>
    <mergeCell ref="N24:O24"/>
    <mergeCell ref="F20:G20"/>
    <mergeCell ref="F21:G21"/>
    <mergeCell ref="F18:G18"/>
    <mergeCell ref="N18:O18"/>
    <mergeCell ref="J16:K16"/>
    <mergeCell ref="B16:C16"/>
    <mergeCell ref="B17:C17"/>
    <mergeCell ref="J26:K26"/>
    <mergeCell ref="J27:K27"/>
    <mergeCell ref="J25:K25"/>
    <mergeCell ref="J19:K19"/>
    <mergeCell ref="J24:K24"/>
    <mergeCell ref="N8:O8"/>
    <mergeCell ref="N9:O9"/>
    <mergeCell ref="N26:O26"/>
    <mergeCell ref="N27:O27"/>
    <mergeCell ref="N20:O20"/>
    <mergeCell ref="N21:O21"/>
    <mergeCell ref="N14:O14"/>
    <mergeCell ref="N15:O15"/>
    <mergeCell ref="N25:O25"/>
    <mergeCell ref="R31:S31"/>
    <mergeCell ref="R32:S32"/>
    <mergeCell ref="R29:S29"/>
    <mergeCell ref="R30:S30"/>
    <mergeCell ref="R11:S11"/>
    <mergeCell ref="R12:S12"/>
    <mergeCell ref="R15:S15"/>
    <mergeCell ref="R25:S25"/>
    <mergeCell ref="R26:S26"/>
    <mergeCell ref="R27:S27"/>
    <mergeCell ref="R16:S16"/>
    <mergeCell ref="R17:S17"/>
    <mergeCell ref="R14:S14"/>
    <mergeCell ref="R24:S24"/>
    <mergeCell ref="R19:S19"/>
    <mergeCell ref="R20:S20"/>
    <mergeCell ref="R21:S21"/>
    <mergeCell ref="R22:S22"/>
    <mergeCell ref="J20:K20"/>
    <mergeCell ref="J21:K21"/>
    <mergeCell ref="J22:K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7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8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9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0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1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2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3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4"/>
  <dimension ref="A1"/>
  <sheetViews>
    <sheetView workbookViewId="0"/>
  </sheetViews>
  <sheetFormatPr baseColWidth="10" defaultColWidth="11.5" defaultRowHeight="13" x14ac:dyDescent="0.15"/>
  <sheetData/>
  <phoneticPr fontId="18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0"/>
  <sheetViews>
    <sheetView workbookViewId="0"/>
  </sheetViews>
  <sheetFormatPr baseColWidth="10" defaultColWidth="11.5" defaultRowHeight="13" x14ac:dyDescent="0.15"/>
  <sheetData>
    <row r="1" spans="1:5" x14ac:dyDescent="0.15">
      <c r="A1" t="s">
        <v>267</v>
      </c>
      <c r="B1" t="s">
        <v>268</v>
      </c>
      <c r="C1" t="s">
        <v>255</v>
      </c>
      <c r="D1" t="s">
        <v>269</v>
      </c>
      <c r="E1" t="s">
        <v>265</v>
      </c>
    </row>
    <row r="2" spans="1:5" x14ac:dyDescent="0.15">
      <c r="C2" t="s">
        <v>256</v>
      </c>
    </row>
    <row r="3" spans="1:5" x14ac:dyDescent="0.15">
      <c r="C3" t="s">
        <v>257</v>
      </c>
    </row>
    <row r="4" spans="1:5" x14ac:dyDescent="0.15">
      <c r="C4" t="s">
        <v>258</v>
      </c>
    </row>
    <row r="5" spans="1:5" x14ac:dyDescent="0.15">
      <c r="C5" t="s">
        <v>259</v>
      </c>
    </row>
    <row r="6" spans="1:5" x14ac:dyDescent="0.15">
      <c r="C6" t="s">
        <v>260</v>
      </c>
    </row>
    <row r="7" spans="1:5" x14ac:dyDescent="0.15">
      <c r="C7" t="s">
        <v>261</v>
      </c>
    </row>
    <row r="8" spans="1:5" x14ac:dyDescent="0.15">
      <c r="C8" t="s">
        <v>262</v>
      </c>
    </row>
    <row r="9" spans="1:5" x14ac:dyDescent="0.15">
      <c r="C9" t="s">
        <v>263</v>
      </c>
    </row>
    <row r="10" spans="1:5" x14ac:dyDescent="0.15">
      <c r="C10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6</vt:i4>
      </vt:variant>
    </vt:vector>
  </HeadingPairs>
  <TitlesOfParts>
    <vt:vector size="16" baseType="lpstr">
      <vt:lpstr>ESTRUCTURA FINANCIERA</vt:lpstr>
      <vt:lpstr>ESTRUCTURA ECONOMICA</vt:lpstr>
      <vt:lpstr>CAPITAL DE TRABAJO</vt:lpstr>
      <vt:lpstr>ANALISIS SOLVENCIA Y MONETARIO</vt:lpstr>
      <vt:lpstr>RENTABILIDAD-BENEFICIOS</vt:lpstr>
      <vt:lpstr>GENERACION DE RECURSOS</vt:lpstr>
      <vt:lpstr>QUIEBRA</vt:lpstr>
      <vt:lpstr>INDICES</vt:lpstr>
      <vt:lpstr>EVA</vt:lpstr>
      <vt:lpstr>DUPONT</vt:lpstr>
      <vt:lpstr>'ANALISIS SOLVENCIA Y MONETARIO'!Área_de_impresión</vt:lpstr>
      <vt:lpstr>'CAPITAL DE TRABAJO'!Área_de_impresión</vt:lpstr>
      <vt:lpstr>'ESTRUCTURA ECONOMICA'!Área_de_impresión</vt:lpstr>
      <vt:lpstr>'ESTRUCTURA FINANCIERA'!Área_de_impresión</vt:lpstr>
      <vt:lpstr>'GENERACION DE RECURSOS'!Área_de_impresión</vt:lpstr>
      <vt:lpstr>'RENTABILIDAD-BENEFICIOS'!Área_de_impresión</vt:lpstr>
    </vt:vector>
  </TitlesOfParts>
  <Manager>Rommel Machado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Análisis de Riesgo de Empresas</dc:title>
  <dc:subject>M.A.R.E. Cuantitativo</dc:subject>
  <dc:creator>D.A. Análisis de Riesgo Rommel Machado</dc:creator>
  <cp:lastModifiedBy>Juan José Díaz Nerio</cp:lastModifiedBy>
  <cp:lastPrinted>2016-07-09T10:25:21Z</cp:lastPrinted>
  <dcterms:created xsi:type="dcterms:W3CDTF">1998-03-18T12:09:02Z</dcterms:created>
  <dcterms:modified xsi:type="dcterms:W3CDTF">2025-08-09T02:03:31Z</dcterms:modified>
</cp:coreProperties>
</file>